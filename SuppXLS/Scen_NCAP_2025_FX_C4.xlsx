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B3F2E707-DA0E-496D-84D3-869E86C12F27}" xr6:coauthVersionLast="47" xr6:coauthVersionMax="47" xr10:uidLastSave="{00000000-0000-0000-0000-000000000000}"/>
  <bookViews>
    <workbookView xWindow="735" yWindow="735" windowWidth="31305" windowHeight="14955" xr2:uid="{00000000-000D-0000-FFFF-FFFF00000000}"/>
  </bookViews>
  <sheets>
    <sheet name="NCAP_BND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1" l="1"/>
  <c r="Q59" i="1" s="1"/>
  <c r="R59" i="1" s="1"/>
  <c r="P57" i="1"/>
  <c r="Q57" i="1" s="1"/>
  <c r="R57" i="1" s="1"/>
  <c r="N49" i="1" a="1"/>
  <c r="N56" i="1" s="1"/>
  <c r="N49" i="1" l="1"/>
  <c r="N50" i="1"/>
  <c r="N51" i="1"/>
  <c r="N52" i="1"/>
  <c r="N53" i="1"/>
  <c r="N54" i="1"/>
  <c r="N55" i="1"/>
</calcChain>
</file>

<file path=xl/sharedStrings.xml><?xml version="1.0" encoding="utf-8"?>
<sst xmlns="http://schemas.openxmlformats.org/spreadsheetml/2006/main" count="95" uniqueCount="25">
  <si>
    <t xml:space="preserve"> </t>
  </si>
  <si>
    <t>~TFM_INS</t>
  </si>
  <si>
    <t>LimType</t>
  </si>
  <si>
    <t>Attribute</t>
  </si>
  <si>
    <t>Year</t>
  </si>
  <si>
    <t>SAR</t>
  </si>
  <si>
    <t>Pset_PN</t>
  </si>
  <si>
    <t>\I: Bound Type</t>
  </si>
  <si>
    <t>Attribute Name</t>
  </si>
  <si>
    <t>Value in Region [GW]</t>
  </si>
  <si>
    <t>Process Set: Process Name</t>
  </si>
  <si>
    <t>FX</t>
  </si>
  <si>
    <t>NCAP_BND</t>
  </si>
  <si>
    <t>ELE_NEW_NAT_GAS_CCGT</t>
  </si>
  <si>
    <t>UP</t>
  </si>
  <si>
    <t>ELE_NEW_NAT_GAS_CCGT_CCS</t>
  </si>
  <si>
    <t>PRE_NEW_HIDROGEN</t>
  </si>
  <si>
    <t>STG_HIDROGEN_ALL</t>
  </si>
  <si>
    <t>ELE_NEW_HIDROGEN_TURBINE_CCHT</t>
  </si>
  <si>
    <t>NRG_FUEL_CELL_ENGINE</t>
  </si>
  <si>
    <t>NEW_ELEC_STG_2H</t>
  </si>
  <si>
    <t>NEW_ELEC_STG_6H</t>
  </si>
  <si>
    <t>NEW_ELEC_STG_8H</t>
  </si>
  <si>
    <t>TOT</t>
  </si>
  <si>
    <t>PNIEC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</si>
</sst>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2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2" fillId="6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0" fontId="5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0" borderId="0" xfId="0" applyFont="1"/>
    <xf numFmtId="0" fontId="3" fillId="5" borderId="0" xfId="0" applyFont="1" applyFill="1"/>
    <xf numFmtId="164" fontId="3" fillId="5" borderId="0" xfId="0" applyNumberFormat="1" applyFont="1" applyFill="1"/>
    <xf numFmtId="0" fontId="3" fillId="7" borderId="0" xfId="0" applyFont="1" applyFill="1"/>
    <xf numFmtId="164" fontId="3" fillId="7" borderId="0" xfId="0" applyNumberFormat="1" applyFont="1" applyFill="1"/>
    <xf numFmtId="164" fontId="3" fillId="0" borderId="0" xfId="0" applyNumberFormat="1" applyFont="1"/>
    <xf numFmtId="0" fontId="3" fillId="6" borderId="0" xfId="0" applyFont="1" applyFill="1"/>
    <xf numFmtId="164" fontId="7" fillId="7" borderId="0" xfId="0" applyNumberFormat="1" applyFont="1" applyFill="1"/>
    <xf numFmtId="164" fontId="7" fillId="6" borderId="0" xfId="0" applyNumberFormat="1" applyFont="1" applyFill="1"/>
    <xf numFmtId="164" fontId="6" fillId="6" borderId="0" xfId="0" applyNumberFormat="1" applyFont="1" applyFill="1"/>
    <xf numFmtId="164" fontId="6" fillId="7" borderId="4" xfId="0" applyNumberFormat="1" applyFont="1" applyFill="1" applyBorder="1"/>
    <xf numFmtId="164" fontId="7" fillId="7" borderId="4" xfId="0" applyNumberFormat="1" applyFont="1" applyFill="1" applyBorder="1"/>
    <xf numFmtId="164" fontId="3" fillId="6" borderId="0" xfId="0" applyNumberFormat="1" applyFont="1" applyFill="1"/>
    <xf numFmtId="0" fontId="3" fillId="4" borderId="3" xfId="0" applyFont="1" applyFill="1" applyBorder="1"/>
    <xf numFmtId="0" fontId="0" fillId="6" borderId="0" xfId="0" applyFill="1"/>
    <xf numFmtId="0" fontId="0" fillId="7" borderId="0" xfId="0" applyFill="1"/>
    <xf numFmtId="0" fontId="8" fillId="4" borderId="0" xfId="0" applyFont="1" applyFill="1"/>
  </cellXfs>
  <cellStyles count="2">
    <cellStyle name="Normal 10" xfId="1" xr:uid="{00000000-0005-0000-0000-000001000000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61"/>
  <sheetViews>
    <sheetView tabSelected="1" topLeftCell="A14" zoomScale="115" zoomScaleNormal="115" workbookViewId="0">
      <selection activeCell="B4" sqref="B4"/>
    </sheetView>
  </sheetViews>
  <sheetFormatPr defaultRowHeight="12.75" x14ac:dyDescent="0.2"/>
  <cols>
    <col min="1" max="1" width="3.5703125" customWidth="1"/>
    <col min="2" max="2" width="10.42578125" bestFit="1" customWidth="1"/>
    <col min="3" max="3" width="14.140625" customWidth="1"/>
    <col min="4" max="4" width="13.5703125" customWidth="1"/>
    <col min="5" max="5" width="11.85546875" customWidth="1"/>
    <col min="6" max="6" width="36" customWidth="1"/>
    <col min="7" max="8" width="2.28515625" customWidth="1"/>
    <col min="14" max="14" width="25.85546875" customWidth="1"/>
  </cols>
  <sheetData>
    <row r="2" spans="2:9" x14ac:dyDescent="0.2">
      <c r="B2" s="8" t="s">
        <v>0</v>
      </c>
    </row>
    <row r="4" spans="2:9" ht="18.75" customHeight="1" thickBot="1" x14ac:dyDescent="0.3">
      <c r="B4" s="24" t="s">
        <v>1</v>
      </c>
      <c r="C4" s="4"/>
      <c r="D4" s="4"/>
      <c r="E4" s="4"/>
      <c r="F4" s="4"/>
    </row>
    <row r="5" spans="2:9" ht="13.5" customHeight="1" thickBot="1" x14ac:dyDescent="0.25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spans="2:9" ht="26.25" customHeight="1" thickBot="1" x14ac:dyDescent="0.25">
      <c r="B6" s="6" t="s">
        <v>7</v>
      </c>
      <c r="C6" s="6" t="s">
        <v>8</v>
      </c>
      <c r="D6" s="6" t="s">
        <v>4</v>
      </c>
      <c r="E6" s="6" t="s">
        <v>9</v>
      </c>
      <c r="F6" s="6" t="s">
        <v>10</v>
      </c>
    </row>
    <row r="7" spans="2:9" ht="18.95" customHeight="1" x14ac:dyDescent="0.2">
      <c r="B7" s="2" t="s">
        <v>11</v>
      </c>
      <c r="C7" s="2" t="s">
        <v>12</v>
      </c>
      <c r="D7" s="2">
        <v>2030</v>
      </c>
      <c r="E7" s="2">
        <v>0.2</v>
      </c>
      <c r="F7" t="s">
        <v>13</v>
      </c>
    </row>
    <row r="8" spans="2:9" ht="18.95" customHeight="1" x14ac:dyDescent="0.2">
      <c r="B8" s="11" t="s">
        <v>14</v>
      </c>
      <c r="C8" s="11" t="s">
        <v>12</v>
      </c>
      <c r="D8" s="11">
        <v>2035</v>
      </c>
      <c r="E8" s="11">
        <v>0.3</v>
      </c>
      <c r="F8" s="23" t="s">
        <v>13</v>
      </c>
    </row>
    <row r="9" spans="2:9" ht="18.95" customHeight="1" x14ac:dyDescent="0.2">
      <c r="B9" s="14" t="s">
        <v>11</v>
      </c>
      <c r="C9" s="14" t="s">
        <v>12</v>
      </c>
      <c r="D9" s="14">
        <v>2030</v>
      </c>
      <c r="E9" s="14">
        <v>0.2</v>
      </c>
      <c r="F9" t="s">
        <v>15</v>
      </c>
    </row>
    <row r="10" spans="2:9" ht="18.95" customHeight="1" x14ac:dyDescent="0.2">
      <c r="B10" s="11" t="s">
        <v>14</v>
      </c>
      <c r="C10" s="11" t="s">
        <v>12</v>
      </c>
      <c r="D10" s="11">
        <v>2035</v>
      </c>
      <c r="E10" s="11">
        <v>0.3</v>
      </c>
      <c r="F10" s="23" t="s">
        <v>15</v>
      </c>
    </row>
    <row r="11" spans="2:9" ht="18.75" customHeight="1" x14ac:dyDescent="0.2">
      <c r="B11" s="2" t="s">
        <v>11</v>
      </c>
      <c r="C11" s="2" t="s">
        <v>12</v>
      </c>
      <c r="D11" s="2">
        <v>2030</v>
      </c>
      <c r="E11" s="3">
        <v>0.3</v>
      </c>
      <c r="F11" t="s">
        <v>16</v>
      </c>
    </row>
    <row r="12" spans="2:9" ht="18.75" customHeight="1" x14ac:dyDescent="0.2">
      <c r="B12" s="9" t="s">
        <v>14</v>
      </c>
      <c r="C12" s="9" t="s">
        <v>12</v>
      </c>
      <c r="D12" s="9">
        <v>2035</v>
      </c>
      <c r="E12" s="10">
        <v>0.7</v>
      </c>
      <c r="F12" s="23" t="s">
        <v>16</v>
      </c>
      <c r="I12" s="7"/>
    </row>
    <row r="13" spans="2:9" ht="18.75" customHeight="1" x14ac:dyDescent="0.2">
      <c r="B13" s="2" t="s">
        <v>11</v>
      </c>
      <c r="C13" s="2" t="s">
        <v>12</v>
      </c>
      <c r="D13" s="2">
        <v>2030</v>
      </c>
      <c r="E13" s="3">
        <v>0.7</v>
      </c>
      <c r="F13" t="s">
        <v>17</v>
      </c>
    </row>
    <row r="14" spans="2:9" ht="18.75" customHeight="1" x14ac:dyDescent="0.2">
      <c r="B14" s="11" t="s">
        <v>14</v>
      </c>
      <c r="C14" s="11" t="s">
        <v>12</v>
      </c>
      <c r="D14" s="11">
        <v>2035</v>
      </c>
      <c r="E14" s="12">
        <v>1</v>
      </c>
      <c r="F14" s="23" t="s">
        <v>17</v>
      </c>
    </row>
    <row r="15" spans="2:9" ht="18.75" customHeight="1" x14ac:dyDescent="0.2">
      <c r="B15" s="14" t="s">
        <v>11</v>
      </c>
      <c r="C15" s="14" t="s">
        <v>12</v>
      </c>
      <c r="D15" s="14">
        <v>2025</v>
      </c>
      <c r="E15" s="20">
        <v>0</v>
      </c>
      <c r="F15" t="s">
        <v>18</v>
      </c>
    </row>
    <row r="16" spans="2:9" ht="18.75" customHeight="1" x14ac:dyDescent="0.2">
      <c r="B16" s="11" t="s">
        <v>14</v>
      </c>
      <c r="C16" s="11" t="s">
        <v>12</v>
      </c>
      <c r="D16" s="11">
        <v>2030</v>
      </c>
      <c r="E16" s="12">
        <v>0.15</v>
      </c>
      <c r="F16" s="23" t="s">
        <v>18</v>
      </c>
    </row>
    <row r="17" spans="2:10" ht="18.75" customHeight="1" x14ac:dyDescent="0.2">
      <c r="B17" s="14" t="s">
        <v>11</v>
      </c>
      <c r="C17" s="14" t="s">
        <v>12</v>
      </c>
      <c r="D17" s="14">
        <v>2035</v>
      </c>
      <c r="E17" s="20">
        <v>0.8</v>
      </c>
      <c r="F17" t="s">
        <v>19</v>
      </c>
    </row>
    <row r="18" spans="2:10" ht="18.75" customHeight="1" x14ac:dyDescent="0.2">
      <c r="B18" s="11" t="s">
        <v>14</v>
      </c>
      <c r="C18" s="11" t="s">
        <v>12</v>
      </c>
      <c r="D18" s="11">
        <v>2040</v>
      </c>
      <c r="E18" s="12">
        <v>1.2</v>
      </c>
      <c r="F18" s="23" t="s">
        <v>19</v>
      </c>
      <c r="J18" s="1"/>
    </row>
    <row r="19" spans="2:10" ht="18.75" customHeight="1" x14ac:dyDescent="0.2">
      <c r="B19" s="14" t="s">
        <v>11</v>
      </c>
      <c r="C19" s="14" t="s">
        <v>12</v>
      </c>
      <c r="D19" s="14">
        <v>2030</v>
      </c>
      <c r="E19" s="20">
        <v>0.63600000000000001</v>
      </c>
      <c r="F19" s="22" t="s">
        <v>20</v>
      </c>
      <c r="J19" s="1"/>
    </row>
    <row r="20" spans="2:10" ht="18.75" customHeight="1" x14ac:dyDescent="0.2">
      <c r="B20" s="9" t="s">
        <v>11</v>
      </c>
      <c r="C20" s="11" t="s">
        <v>12</v>
      </c>
      <c r="D20" s="11">
        <v>2035</v>
      </c>
      <c r="E20" s="20">
        <v>0.63600000000000001</v>
      </c>
      <c r="F20" s="23" t="s">
        <v>20</v>
      </c>
      <c r="J20" s="1"/>
    </row>
    <row r="21" spans="2:10" ht="18.75" customHeight="1" x14ac:dyDescent="0.2">
      <c r="B21" s="14" t="s">
        <v>11</v>
      </c>
      <c r="C21" s="14" t="s">
        <v>12</v>
      </c>
      <c r="D21" s="14">
        <v>2040</v>
      </c>
      <c r="E21" s="20">
        <v>0.63600000000000001</v>
      </c>
      <c r="F21" s="22" t="s">
        <v>20</v>
      </c>
      <c r="J21" s="1"/>
    </row>
    <row r="22" spans="2:10" ht="18.75" customHeight="1" x14ac:dyDescent="0.2">
      <c r="B22" s="9" t="s">
        <v>11</v>
      </c>
      <c r="C22" s="11" t="s">
        <v>12</v>
      </c>
      <c r="D22" s="11">
        <v>2045</v>
      </c>
      <c r="E22" s="20">
        <v>0.63600000000000001</v>
      </c>
      <c r="F22" s="23" t="s">
        <v>20</v>
      </c>
      <c r="J22" s="1"/>
    </row>
    <row r="23" spans="2:10" ht="18.75" customHeight="1" x14ac:dyDescent="0.2">
      <c r="B23" s="14" t="s">
        <v>11</v>
      </c>
      <c r="C23" s="14" t="s">
        <v>12</v>
      </c>
      <c r="D23" s="14">
        <v>2050</v>
      </c>
      <c r="E23" s="20">
        <v>0.63600000000000001</v>
      </c>
      <c r="F23" s="22" t="s">
        <v>20</v>
      </c>
      <c r="J23" s="1"/>
    </row>
    <row r="24" spans="2:10" ht="18.75" customHeight="1" x14ac:dyDescent="0.2">
      <c r="B24" s="9" t="s">
        <v>11</v>
      </c>
      <c r="C24" s="11" t="s">
        <v>12</v>
      </c>
      <c r="D24" s="11">
        <v>2030</v>
      </c>
      <c r="E24" s="12">
        <v>1.2729999999999999</v>
      </c>
      <c r="F24" s="23" t="s">
        <v>21</v>
      </c>
      <c r="J24" s="1"/>
    </row>
    <row r="25" spans="2:10" ht="18.75" customHeight="1" x14ac:dyDescent="0.2">
      <c r="B25" s="14" t="s">
        <v>11</v>
      </c>
      <c r="C25" s="14" t="s">
        <v>12</v>
      </c>
      <c r="D25" s="14">
        <v>2035</v>
      </c>
      <c r="E25" s="12">
        <v>1.2729999999999999</v>
      </c>
      <c r="F25" s="22" t="s">
        <v>21</v>
      </c>
      <c r="J25" s="1"/>
    </row>
    <row r="26" spans="2:10" ht="18.75" customHeight="1" x14ac:dyDescent="0.2">
      <c r="B26" s="9" t="s">
        <v>11</v>
      </c>
      <c r="C26" s="11" t="s">
        <v>12</v>
      </c>
      <c r="D26" s="11">
        <v>2040</v>
      </c>
      <c r="E26" s="12">
        <v>1.2729999999999999</v>
      </c>
      <c r="F26" s="23" t="s">
        <v>21</v>
      </c>
      <c r="J26" s="1"/>
    </row>
    <row r="27" spans="2:10" ht="18.75" customHeight="1" x14ac:dyDescent="0.2">
      <c r="B27" s="14" t="s">
        <v>11</v>
      </c>
      <c r="C27" s="14" t="s">
        <v>12</v>
      </c>
      <c r="D27" s="14">
        <v>2045</v>
      </c>
      <c r="E27" s="12">
        <v>1.2729999999999999</v>
      </c>
      <c r="F27" s="22" t="s">
        <v>21</v>
      </c>
      <c r="J27" s="1"/>
    </row>
    <row r="28" spans="2:10" ht="18.75" customHeight="1" x14ac:dyDescent="0.2">
      <c r="B28" s="9" t="s">
        <v>11</v>
      </c>
      <c r="C28" s="11" t="s">
        <v>12</v>
      </c>
      <c r="D28" s="11">
        <v>2050</v>
      </c>
      <c r="E28" s="12">
        <v>1.2729999999999999</v>
      </c>
      <c r="F28" s="23" t="s">
        <v>21</v>
      </c>
      <c r="J28" s="1"/>
    </row>
    <row r="29" spans="2:10" ht="18.75" customHeight="1" x14ac:dyDescent="0.2">
      <c r="B29" s="14" t="s">
        <v>11</v>
      </c>
      <c r="C29" s="14" t="s">
        <v>12</v>
      </c>
      <c r="D29" s="14">
        <v>2030</v>
      </c>
      <c r="E29" s="20">
        <v>0.63600000000000001</v>
      </c>
      <c r="F29" s="22" t="s">
        <v>22</v>
      </c>
    </row>
    <row r="30" spans="2:10" ht="18.75" customHeight="1" x14ac:dyDescent="0.2">
      <c r="B30" s="9" t="s">
        <v>11</v>
      </c>
      <c r="C30" s="11" t="s">
        <v>12</v>
      </c>
      <c r="D30" s="9">
        <v>2035</v>
      </c>
      <c r="E30" s="20">
        <v>0.63600000000000001</v>
      </c>
      <c r="F30" s="23" t="s">
        <v>22</v>
      </c>
    </row>
    <row r="31" spans="2:10" ht="18.75" customHeight="1" x14ac:dyDescent="0.2">
      <c r="B31" s="14" t="s">
        <v>11</v>
      </c>
      <c r="C31" s="14" t="s">
        <v>12</v>
      </c>
      <c r="D31" s="14">
        <v>2040</v>
      </c>
      <c r="E31" s="20">
        <v>0.63600000000000001</v>
      </c>
      <c r="F31" s="22" t="s">
        <v>22</v>
      </c>
    </row>
    <row r="32" spans="2:10" ht="18.75" customHeight="1" x14ac:dyDescent="0.2">
      <c r="B32" s="9" t="s">
        <v>11</v>
      </c>
      <c r="C32" s="11" t="s">
        <v>12</v>
      </c>
      <c r="D32" s="9">
        <v>2045</v>
      </c>
      <c r="E32" s="20">
        <v>0.63600000000000001</v>
      </c>
      <c r="F32" s="23" t="s">
        <v>22</v>
      </c>
    </row>
    <row r="33" spans="2:21" ht="18.75" customHeight="1" x14ac:dyDescent="0.2">
      <c r="B33" s="21" t="s">
        <v>11</v>
      </c>
      <c r="C33" s="21" t="s">
        <v>12</v>
      </c>
      <c r="D33" s="21">
        <v>2050</v>
      </c>
      <c r="E33" s="20">
        <v>0.63600000000000001</v>
      </c>
      <c r="F33" s="21" t="s">
        <v>22</v>
      </c>
      <c r="I33" s="7"/>
    </row>
    <row r="34" spans="2:21" x14ac:dyDescent="0.2">
      <c r="E34" s="13"/>
    </row>
    <row r="48" spans="2:21" x14ac:dyDescent="0.2">
      <c r="O48">
        <v>2023</v>
      </c>
      <c r="P48">
        <v>2025</v>
      </c>
      <c r="Q48">
        <v>2030</v>
      </c>
      <c r="R48">
        <v>2035</v>
      </c>
      <c r="S48">
        <v>2040</v>
      </c>
      <c r="T48">
        <v>2045</v>
      </c>
      <c r="U48">
        <v>2050</v>
      </c>
    </row>
    <row r="49" spans="14:21" x14ac:dyDescent="0.2">
      <c r="N49" t="str">
        <f t="array" ref="N49:N56">[1]RES!$B$7:$B$14</f>
        <v>ELE_EX_BIOMASS</v>
      </c>
      <c r="O49" s="15">
        <v>0.1</v>
      </c>
      <c r="P49" s="15">
        <v>0.1</v>
      </c>
      <c r="Q49" s="15">
        <v>0.2</v>
      </c>
      <c r="R49" s="15">
        <v>0</v>
      </c>
      <c r="S49" s="15">
        <v>0</v>
      </c>
      <c r="T49" s="15">
        <v>0</v>
      </c>
      <c r="U49" s="15">
        <v>0</v>
      </c>
    </row>
    <row r="50" spans="14:21" x14ac:dyDescent="0.2">
      <c r="N50" t="str">
        <v>ELE_EX_HIDRO</v>
      </c>
      <c r="O50" s="15"/>
      <c r="P50" s="15"/>
      <c r="Q50" s="15"/>
      <c r="R50" s="15"/>
      <c r="S50" s="15"/>
      <c r="T50" s="15"/>
      <c r="U50" s="15"/>
    </row>
    <row r="51" spans="14:21" x14ac:dyDescent="0.2">
      <c r="N51" t="str">
        <v>ELE_EX_HIDRO_RUN</v>
      </c>
      <c r="O51" s="15"/>
      <c r="P51" s="15"/>
      <c r="Q51" s="15"/>
      <c r="R51" s="15"/>
      <c r="S51" s="15"/>
      <c r="T51" s="15"/>
      <c r="U51" s="15"/>
    </row>
    <row r="52" spans="14:21" x14ac:dyDescent="0.2">
      <c r="N52" t="str">
        <v>ELE_EX_HIDRO_STORAGE_PUMP</v>
      </c>
      <c r="O52" s="15"/>
      <c r="P52" s="15"/>
      <c r="Q52" s="15"/>
      <c r="R52" s="15"/>
      <c r="S52" s="15"/>
      <c r="T52" s="15"/>
      <c r="U52" s="15"/>
    </row>
    <row r="53" spans="14:21" x14ac:dyDescent="0.2">
      <c r="N53" t="str">
        <v>ELE_EX_OTHER</v>
      </c>
      <c r="O53" s="1">
        <v>0.24</v>
      </c>
      <c r="P53" s="1">
        <v>0.24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4:21" x14ac:dyDescent="0.2">
      <c r="N54" t="str">
        <v>ELE_EX_WIND-ON</v>
      </c>
      <c r="O54" s="15">
        <v>7.0000000000000007E-2</v>
      </c>
      <c r="P54" s="15">
        <v>7.0000000000000007E-2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</row>
    <row r="55" spans="14:21" x14ac:dyDescent="0.2">
      <c r="N55" t="str">
        <v>ELE_EX_AUTOPR_PV</v>
      </c>
      <c r="O55" s="16">
        <v>0.2</v>
      </c>
      <c r="P55" s="16">
        <v>0.2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</row>
    <row r="56" spans="14:21" x14ac:dyDescent="0.2">
      <c r="N56" t="str">
        <v>ELE_EX_AUTOPR_PV_RES</v>
      </c>
      <c r="O56" s="15">
        <v>0.1</v>
      </c>
      <c r="P56" s="15">
        <v>0.1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</row>
    <row r="57" spans="14:21" x14ac:dyDescent="0.2">
      <c r="O57" s="17">
        <v>1.17</v>
      </c>
      <c r="P57" s="1">
        <f>O57+0.049</f>
        <v>1.2189999999999999</v>
      </c>
      <c r="Q57" s="1">
        <f>P57+0.049</f>
        <v>1.2679999999999998</v>
      </c>
      <c r="R57" s="1">
        <f>Q57+0.049</f>
        <v>1.3169999999999997</v>
      </c>
      <c r="S57" s="1">
        <v>0</v>
      </c>
      <c r="T57" s="1">
        <v>0</v>
      </c>
      <c r="U57" s="1">
        <v>0</v>
      </c>
    </row>
    <row r="58" spans="14:21" x14ac:dyDescent="0.2">
      <c r="O58" s="17">
        <v>7.1999999999999995E-2</v>
      </c>
      <c r="P58" s="1">
        <v>0.08</v>
      </c>
      <c r="Q58" s="1">
        <v>0.12</v>
      </c>
      <c r="R58" s="1">
        <v>0.16</v>
      </c>
      <c r="S58" s="1">
        <v>0.3</v>
      </c>
      <c r="T58" s="1">
        <v>0</v>
      </c>
      <c r="U58" s="1">
        <v>0</v>
      </c>
    </row>
    <row r="59" spans="14:21" ht="13.5" customHeight="1" thickBot="1" x14ac:dyDescent="0.25">
      <c r="O59" s="18">
        <v>1.36</v>
      </c>
      <c r="P59" s="19">
        <f>O59+0.72</f>
        <v>2.08</v>
      </c>
      <c r="Q59" s="19">
        <f>P59+0.36</f>
        <v>2.44</v>
      </c>
      <c r="R59" s="19">
        <f>Q59+0.36</f>
        <v>2.8</v>
      </c>
      <c r="S59" s="19">
        <v>0</v>
      </c>
      <c r="T59" s="19">
        <v>0</v>
      </c>
      <c r="U59" s="19">
        <v>0</v>
      </c>
    </row>
    <row r="60" spans="14:21" x14ac:dyDescent="0.2">
      <c r="N60" t="s">
        <v>23</v>
      </c>
    </row>
    <row r="61" spans="14:21" x14ac:dyDescent="0.2">
      <c r="N61" t="s">
        <v>24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2026-05-18T15:34:13Z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548680603504180</vt:r8>
  </property>
</Properties>
</file>