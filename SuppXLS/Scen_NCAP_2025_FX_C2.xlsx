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6010" windowHeight="20985" tabRatio="600" firstSheet="0" activeTab="0" autoFilterDateGrouping="1"/>
  </bookViews>
  <sheets>
    <sheet xmlns:r="http://schemas.openxmlformats.org/officeDocument/2006/relationships" name="NCAP_BND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Arial"/>
      <sz val="10"/>
    </font>
    <font>
      <name val="Arial"/>
      <charset val="238"/>
      <family val="2"/>
      <b val="1"/>
      <sz val="10"/>
    </font>
    <font>
      <name val="Arial"/>
      <family val="2"/>
      <sz val="10"/>
    </font>
    <font>
      <name val="Arial"/>
      <charset val="238"/>
      <family val="2"/>
      <color rgb="FF000000"/>
      <sz val="10"/>
    </font>
    <font>
      <name val="Arial"/>
      <charset val="238"/>
      <family val="2"/>
      <b val="1"/>
      <color rgb="FF000000"/>
      <sz val="10"/>
    </font>
    <font>
      <name val="Arial"/>
      <charset val="238"/>
      <family val="2"/>
      <b val="1"/>
      <color rgb="FF0000FF"/>
      <sz val="12"/>
    </font>
    <font>
      <name val="Arial"/>
      <family val="2"/>
      <color theme="1"/>
      <sz val="10"/>
    </font>
    <font>
      <name val="Arial"/>
      <charset val="238"/>
      <family val="2"/>
      <sz val="10"/>
    </font>
    <font>
      <name val="Arial"/>
      <family val="2"/>
      <b val="1"/>
      <color rgb="FF0000FF"/>
      <sz val="12"/>
    </font>
  </fonts>
  <fills count="8">
    <fill>
      <patternFill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164" fontId="2" fillId="6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5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4" fontId="0" fillId="0" borderId="0" pivotButton="0" quotePrefix="0" xfId="0"/>
    <xf numFmtId="0" fontId="1" fillId="0" borderId="0" pivotButton="0" quotePrefix="0" xfId="0"/>
    <xf numFmtId="0" fontId="3" fillId="5" borderId="0" pivotButton="0" quotePrefix="0" xfId="0"/>
    <xf numFmtId="164" fontId="3" fillId="5" borderId="0" pivotButton="0" quotePrefix="0" xfId="0"/>
    <xf numFmtId="0" fontId="3" fillId="7" borderId="0" pivotButton="0" quotePrefix="0" xfId="0"/>
    <xf numFmtId="164" fontId="3" fillId="7" borderId="0" pivotButton="0" quotePrefix="0" xfId="0"/>
    <xf numFmtId="164" fontId="3" fillId="0" borderId="0" pivotButton="0" quotePrefix="0" xfId="0"/>
    <xf numFmtId="0" fontId="3" fillId="6" borderId="0" pivotButton="0" quotePrefix="0" xfId="0"/>
    <xf numFmtId="164" fontId="7" fillId="7" borderId="0" pivotButton="0" quotePrefix="0" xfId="0"/>
    <xf numFmtId="164" fontId="7" fillId="6" borderId="0" pivotButton="0" quotePrefix="0" xfId="0"/>
    <xf numFmtId="164" fontId="6" fillId="6" borderId="0" pivotButton="0" quotePrefix="0" xfId="0"/>
    <xf numFmtId="164" fontId="6" fillId="7" borderId="4" pivotButton="0" quotePrefix="0" xfId="0"/>
    <xf numFmtId="164" fontId="7" fillId="7" borderId="4" pivotButton="0" quotePrefix="0" xfId="0"/>
    <xf numFmtId="164" fontId="3" fillId="6" borderId="0" pivotButton="0" quotePrefix="0" xfId="0"/>
    <xf numFmtId="0" fontId="3" fillId="4" borderId="3" pivotButton="0" quotePrefix="0" xfId="0"/>
    <xf numFmtId="0" fontId="0" fillId="6" borderId="0" pivotButton="0" quotePrefix="0" xfId="0"/>
    <xf numFmtId="0" fontId="0" fillId="7" borderId="0" pivotButton="0" quotePrefix="0" xfId="0"/>
    <xf numFmtId="0" fontId="8" fillId="4" borderId="0" pivotButton="0" quotePrefix="0" xfId="0"/>
  </cellXfs>
  <cellStyles count="2">
    <cellStyle name="Normale" xfId="0" builtinId="0"/>
    <cellStyle name="Normal 10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myprogect/myproject/VT_Model_ELC_01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 t="str">
            <v>ELE_EX_BIOMASS</v>
          </cell>
        </row>
        <row r="8">
          <cell r="B8" t="str">
            <v>ELE_EX_HIDRO</v>
          </cell>
        </row>
        <row r="9">
          <cell r="B9" t="str">
            <v>ELE_EX_HIDRO_RUN</v>
          </cell>
        </row>
        <row r="10">
          <cell r="B10" t="str">
            <v>ELE_EX_HIDRO_STORAGE_PUMP</v>
          </cell>
        </row>
        <row r="11">
          <cell r="B11" t="str">
            <v>ELE_EX_OTHER</v>
          </cell>
        </row>
        <row r="12">
          <cell r="B12" t="str">
            <v>ELE_EX_WIND-ON</v>
          </cell>
        </row>
        <row r="13">
          <cell r="B13" t="str">
            <v>ELE_EX_AUTOPR_PV</v>
          </cell>
        </row>
        <row r="14">
          <cell r="B14" t="str">
            <v>ELE_EX_AUTOPR_PV_RES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tabSelected="1" topLeftCell="A4" zoomScale="115" zoomScaleNormal="115" workbookViewId="0">
      <selection activeCell="K12" sqref="K12"/>
    </sheetView>
  </sheetViews>
  <sheetFormatPr baseColWidth="8" defaultRowHeight="12.75"/>
  <cols>
    <col width="3.5703125" customWidth="1" min="1" max="1"/>
    <col width="10.42578125" bestFit="1" customWidth="1" min="2" max="2"/>
    <col width="14.140625" customWidth="1" min="3" max="3"/>
    <col width="13.5703125" customWidth="1" min="4" max="4"/>
    <col width="11.85546875" customWidth="1" min="5" max="5"/>
    <col width="36" customWidth="1" min="6" max="6"/>
    <col width="2.28515625" customWidth="1" min="7" max="8"/>
    <col width="25.85546875" customWidth="1" min="14" max="14"/>
  </cols>
  <sheetData>
    <row r="1"/>
    <row r="2">
      <c r="B2" s="8" t="inlineStr">
        <is>
          <t xml:space="preserve"> </t>
        </is>
      </c>
    </row>
    <row r="3"/>
    <row r="4" ht="18.75" customHeight="1" thickBot="1">
      <c r="B4" s="24" t="inlineStr">
        <is>
          <t>~TFM_INS</t>
        </is>
      </c>
      <c r="C4" s="4" t="n"/>
      <c r="D4" s="4" t="n"/>
      <c r="E4" s="4" t="n"/>
      <c r="F4" s="4" t="n"/>
    </row>
    <row r="5" ht="13.5" customHeight="1" thickBot="1">
      <c r="B5" s="5" t="inlineStr">
        <is>
          <t>LimType</t>
        </is>
      </c>
      <c r="C5" s="5" t="inlineStr">
        <is>
          <t>Attribute</t>
        </is>
      </c>
      <c r="D5" s="5" t="inlineStr">
        <is>
          <t>Year</t>
        </is>
      </c>
      <c r="E5" s="5" t="inlineStr">
        <is>
          <t>SAR</t>
        </is>
      </c>
      <c r="F5" s="5" t="inlineStr">
        <is>
          <t>Pset_PN</t>
        </is>
      </c>
    </row>
    <row r="6" ht="26.25" customHeight="1" thickBot="1">
      <c r="B6" s="6" t="inlineStr">
        <is>
          <t>\I: Bound Type</t>
        </is>
      </c>
      <c r="C6" s="6" t="inlineStr">
        <is>
          <t>Attribute Name</t>
        </is>
      </c>
      <c r="D6" s="6" t="inlineStr">
        <is>
          <t>Year</t>
        </is>
      </c>
      <c r="E6" s="6" t="inlineStr">
        <is>
          <t>Value in Region [GW]</t>
        </is>
      </c>
      <c r="F6" s="6" t="inlineStr">
        <is>
          <t>Process Set: Process Name</t>
        </is>
      </c>
    </row>
    <row r="7" ht="18.95" customHeight="1">
      <c r="B7" s="2" t="inlineStr">
        <is>
          <t>FX</t>
        </is>
      </c>
      <c r="C7" s="2" t="inlineStr">
        <is>
          <t>NCAP_BND</t>
        </is>
      </c>
      <c r="D7" s="2" t="n">
        <v>2030</v>
      </c>
      <c r="E7" s="2" t="n">
        <v>0.2</v>
      </c>
      <c r="F7" t="inlineStr">
        <is>
          <t>ELE_NEW_NAT_GAS_CCGT</t>
        </is>
      </c>
    </row>
    <row r="8" ht="18.95" customHeight="1">
      <c r="B8" s="11" t="inlineStr">
        <is>
          <t>UP</t>
        </is>
      </c>
      <c r="C8" s="11" t="inlineStr">
        <is>
          <t>NCAP_BND</t>
        </is>
      </c>
      <c r="D8" s="11" t="n">
        <v>2035</v>
      </c>
      <c r="E8" s="11" t="n">
        <v>0.3</v>
      </c>
      <c r="F8" s="23" t="inlineStr">
        <is>
          <t>ELE_NEW_NAT_GAS_CCGT</t>
        </is>
      </c>
    </row>
    <row r="9" ht="18.95" customHeight="1">
      <c r="B9" s="14" t="inlineStr">
        <is>
          <t>FX</t>
        </is>
      </c>
      <c r="C9" s="14" t="inlineStr">
        <is>
          <t>NCAP_BND</t>
        </is>
      </c>
      <c r="D9" s="14" t="n">
        <v>2030</v>
      </c>
      <c r="E9" s="14" t="n">
        <v>0.2</v>
      </c>
      <c r="F9" t="inlineStr">
        <is>
          <t>ELE_NEW_NAT_GAS_CCGT_CCS</t>
        </is>
      </c>
    </row>
    <row r="10" ht="18.95" customHeight="1">
      <c r="B10" s="11" t="inlineStr">
        <is>
          <t>UP</t>
        </is>
      </c>
      <c r="C10" s="11" t="inlineStr">
        <is>
          <t>NCAP_BND</t>
        </is>
      </c>
      <c r="D10" s="11" t="n">
        <v>2035</v>
      </c>
      <c r="E10" s="11" t="n">
        <v>0.3</v>
      </c>
      <c r="F10" s="23" t="inlineStr">
        <is>
          <t>ELE_NEW_NAT_GAS_CCGT_CCS</t>
        </is>
      </c>
    </row>
    <row r="11" ht="18.75" customHeight="1">
      <c r="B11" s="2" t="inlineStr">
        <is>
          <t>FX</t>
        </is>
      </c>
      <c r="C11" s="2" t="inlineStr">
        <is>
          <t>NCAP_BND</t>
        </is>
      </c>
      <c r="D11" s="2" t="n">
        <v>2030</v>
      </c>
      <c r="E11" s="3" t="n">
        <v>0.3</v>
      </c>
      <c r="F11" t="inlineStr">
        <is>
          <t>PRE_NEW_HIDROGEN</t>
        </is>
      </c>
    </row>
    <row r="12" ht="18.75" customHeight="1">
      <c r="B12" s="9" t="inlineStr">
        <is>
          <t>UP</t>
        </is>
      </c>
      <c r="C12" s="9" t="inlineStr">
        <is>
          <t>NCAP_BND</t>
        </is>
      </c>
      <c r="D12" s="9" t="n">
        <v>2035</v>
      </c>
      <c r="E12" s="10" t="n">
        <v>0.7</v>
      </c>
      <c r="F12" s="23" t="inlineStr">
        <is>
          <t>PRE_NEW_HIDROGEN</t>
        </is>
      </c>
      <c r="I12" s="7" t="n"/>
    </row>
    <row r="13" ht="18.75" customHeight="1">
      <c r="B13" s="2" t="inlineStr">
        <is>
          <t>FX</t>
        </is>
      </c>
      <c r="C13" s="2" t="inlineStr">
        <is>
          <t>NCAP_BND</t>
        </is>
      </c>
      <c r="D13" s="2" t="n">
        <v>2030</v>
      </c>
      <c r="E13" s="3" t="n">
        <v>0.7</v>
      </c>
      <c r="F13" t="inlineStr">
        <is>
          <t>STG_HIDROGEN_ALL</t>
        </is>
      </c>
    </row>
    <row r="14" ht="18.75" customHeight="1">
      <c r="B14" s="11" t="inlineStr">
        <is>
          <t>UP</t>
        </is>
      </c>
      <c r="C14" s="11" t="inlineStr">
        <is>
          <t>NCAP_BND</t>
        </is>
      </c>
      <c r="D14" s="11" t="n">
        <v>2035</v>
      </c>
      <c r="E14" s="12" t="n">
        <v>1</v>
      </c>
      <c r="F14" s="23" t="inlineStr">
        <is>
          <t>STG_HIDROGEN_ALL</t>
        </is>
      </c>
    </row>
    <row r="15" ht="18.75" customHeight="1">
      <c r="B15" s="14" t="inlineStr">
        <is>
          <t>FX</t>
        </is>
      </c>
      <c r="C15" s="14" t="inlineStr">
        <is>
          <t>NCAP_BND</t>
        </is>
      </c>
      <c r="D15" s="14" t="n">
        <v>2025</v>
      </c>
      <c r="E15" s="20" t="n">
        <v>0</v>
      </c>
      <c r="F15" t="inlineStr">
        <is>
          <t>ELE_NEW_HIDROGEN_TURBINE_CCHT</t>
        </is>
      </c>
    </row>
    <row r="16" ht="18.75" customHeight="1">
      <c r="B16" s="11" t="inlineStr">
        <is>
          <t>UP</t>
        </is>
      </c>
      <c r="C16" s="11" t="inlineStr">
        <is>
          <t>NCAP_BND</t>
        </is>
      </c>
      <c r="D16" s="11" t="n">
        <v>2030</v>
      </c>
      <c r="E16" s="12" t="n">
        <v>0.15</v>
      </c>
      <c r="F16" s="23" t="inlineStr">
        <is>
          <t>ELE_NEW_HIDROGEN_TURBINE_CCHT</t>
        </is>
      </c>
    </row>
    <row r="17" ht="18.75" customHeight="1">
      <c r="B17" s="14" t="inlineStr">
        <is>
          <t>FX</t>
        </is>
      </c>
      <c r="C17" s="14" t="inlineStr">
        <is>
          <t>NCAP_BND</t>
        </is>
      </c>
      <c r="D17" s="14" t="n">
        <v>2035</v>
      </c>
      <c r="E17" s="20" t="n">
        <v>0.8</v>
      </c>
      <c r="F17" t="inlineStr">
        <is>
          <t>NRG_FUEL_CELL_ENGINE</t>
        </is>
      </c>
    </row>
    <row r="18" ht="18.75" customHeight="1">
      <c r="B18" s="11" t="inlineStr">
        <is>
          <t>UP</t>
        </is>
      </c>
      <c r="C18" s="11" t="inlineStr">
        <is>
          <t>NCAP_BND</t>
        </is>
      </c>
      <c r="D18" s="11" t="n">
        <v>2040</v>
      </c>
      <c r="E18" s="12" t="n">
        <v>1.2</v>
      </c>
      <c r="F18" s="23" t="inlineStr">
        <is>
          <t>NRG_FUEL_CELL_ENGINE</t>
        </is>
      </c>
      <c r="J18" s="1" t="n"/>
    </row>
    <row r="19" ht="18.75" customHeight="1">
      <c r="B19" s="14" t="inlineStr">
        <is>
          <t>FX</t>
        </is>
      </c>
      <c r="C19" s="14" t="inlineStr">
        <is>
          <t>NCAP_BND</t>
        </is>
      </c>
      <c r="D19" s="14" t="n">
        <v>2030</v>
      </c>
      <c r="E19" s="20" t="n">
        <v>0.636</v>
      </c>
      <c r="F19" s="22" t="inlineStr">
        <is>
          <t>NEW_ELEC_STG_2H</t>
        </is>
      </c>
      <c r="J19" s="1" t="n"/>
    </row>
    <row r="20" ht="18.75" customHeight="1">
      <c r="B20" s="9" t="inlineStr">
        <is>
          <t>FX</t>
        </is>
      </c>
      <c r="C20" s="11" t="inlineStr">
        <is>
          <t>NCAP_BND</t>
        </is>
      </c>
      <c r="D20" s="11" t="n">
        <v>2035</v>
      </c>
      <c r="E20" s="12" t="n">
        <v>0.636</v>
      </c>
      <c r="F20" s="23" t="inlineStr">
        <is>
          <t>NEW_ELEC_STG_2H</t>
        </is>
      </c>
      <c r="J20" s="1" t="n"/>
    </row>
    <row r="21" ht="18.75" customHeight="1">
      <c r="B21" s="14" t="inlineStr">
        <is>
          <t>FX</t>
        </is>
      </c>
      <c r="C21" s="14" t="inlineStr">
        <is>
          <t>NCAP_BND</t>
        </is>
      </c>
      <c r="D21" s="14" t="n">
        <v>2040</v>
      </c>
      <c r="E21" s="20" t="n">
        <v>0.636</v>
      </c>
      <c r="F21" s="22" t="inlineStr">
        <is>
          <t>NEW_ELEC_STG_2H</t>
        </is>
      </c>
      <c r="J21" s="1" t="n"/>
    </row>
    <row r="22" ht="18.75" customHeight="1">
      <c r="B22" s="9" t="inlineStr">
        <is>
          <t>FX</t>
        </is>
      </c>
      <c r="C22" s="11" t="inlineStr">
        <is>
          <t>NCAP_BND</t>
        </is>
      </c>
      <c r="D22" s="11" t="n">
        <v>2045</v>
      </c>
      <c r="E22" s="12" t="n">
        <v>0.636</v>
      </c>
      <c r="F22" s="23" t="inlineStr">
        <is>
          <t>NEW_ELEC_STG_2H</t>
        </is>
      </c>
      <c r="J22" s="1" t="n"/>
    </row>
    <row r="23" ht="18.75" customHeight="1">
      <c r="B23" s="14" t="inlineStr">
        <is>
          <t>FX</t>
        </is>
      </c>
      <c r="C23" s="14" t="inlineStr">
        <is>
          <t>NCAP_BND</t>
        </is>
      </c>
      <c r="D23" s="14" t="n">
        <v>2050</v>
      </c>
      <c r="E23" s="20" t="n">
        <v>0.636</v>
      </c>
      <c r="F23" s="22" t="inlineStr">
        <is>
          <t>NEW_ELEC_STG_2H</t>
        </is>
      </c>
      <c r="J23" s="1" t="n"/>
    </row>
    <row r="24" ht="18.75" customHeight="1">
      <c r="B24" s="9" t="inlineStr">
        <is>
          <t>FX</t>
        </is>
      </c>
      <c r="C24" s="11" t="inlineStr">
        <is>
          <t>NCAP_BND</t>
        </is>
      </c>
      <c r="D24" s="11" t="n">
        <v>2030</v>
      </c>
      <c r="E24" s="12" t="n">
        <v>1.273</v>
      </c>
      <c r="F24" s="23" t="inlineStr">
        <is>
          <t>NEW_ELEC_STG_6H</t>
        </is>
      </c>
      <c r="J24" s="1" t="n"/>
    </row>
    <row r="25" ht="18.75" customHeight="1">
      <c r="B25" s="14" t="inlineStr">
        <is>
          <t>FX</t>
        </is>
      </c>
      <c r="C25" s="14" t="inlineStr">
        <is>
          <t>NCAP_BND</t>
        </is>
      </c>
      <c r="D25" s="14" t="n">
        <v>2035</v>
      </c>
      <c r="E25" s="20" t="n">
        <v>1.273</v>
      </c>
      <c r="F25" s="22" t="inlineStr">
        <is>
          <t>NEW_ELEC_STG_6H</t>
        </is>
      </c>
      <c r="J25" s="1" t="n"/>
    </row>
    <row r="26" ht="18.75" customHeight="1">
      <c r="B26" s="9" t="inlineStr">
        <is>
          <t>FX</t>
        </is>
      </c>
      <c r="C26" s="11" t="inlineStr">
        <is>
          <t>NCAP_BND</t>
        </is>
      </c>
      <c r="D26" s="11" t="n">
        <v>2040</v>
      </c>
      <c r="E26" s="12" t="n">
        <v>1.273</v>
      </c>
      <c r="F26" s="23" t="inlineStr">
        <is>
          <t>NEW_ELEC_STG_6H</t>
        </is>
      </c>
      <c r="J26" s="1" t="n"/>
    </row>
    <row r="27" ht="18.75" customHeight="1">
      <c r="B27" s="14" t="inlineStr">
        <is>
          <t>FX</t>
        </is>
      </c>
      <c r="C27" s="14" t="inlineStr">
        <is>
          <t>NCAP_BND</t>
        </is>
      </c>
      <c r="D27" s="14" t="n">
        <v>2045</v>
      </c>
      <c r="E27" s="20" t="n">
        <v>1.273</v>
      </c>
      <c r="F27" s="22" t="inlineStr">
        <is>
          <t>NEW_ELEC_STG_6H</t>
        </is>
      </c>
      <c r="J27" s="1" t="n"/>
    </row>
    <row r="28" ht="18.75" customHeight="1">
      <c r="B28" s="9" t="inlineStr">
        <is>
          <t>FX</t>
        </is>
      </c>
      <c r="C28" s="11" t="inlineStr">
        <is>
          <t>NCAP_BND</t>
        </is>
      </c>
      <c r="D28" s="11" t="n">
        <v>2050</v>
      </c>
      <c r="E28" s="12" t="n">
        <v>1.273</v>
      </c>
      <c r="F28" s="23" t="inlineStr">
        <is>
          <t>NEW_ELEC_STG_6H</t>
        </is>
      </c>
      <c r="J28" s="1" t="n"/>
    </row>
    <row r="29" ht="18.75" customHeight="1">
      <c r="B29" s="14" t="inlineStr">
        <is>
          <t>FX</t>
        </is>
      </c>
      <c r="C29" s="14" t="inlineStr">
        <is>
          <t>NCAP_BND</t>
        </is>
      </c>
      <c r="D29" s="14" t="n">
        <v>2030</v>
      </c>
      <c r="E29" s="20" t="n">
        <v>0.636</v>
      </c>
      <c r="F29" s="22" t="inlineStr">
        <is>
          <t>NEW_ELEC_STG_8H</t>
        </is>
      </c>
    </row>
    <row r="30" ht="18.75" customHeight="1">
      <c r="B30" s="9" t="inlineStr">
        <is>
          <t>FX</t>
        </is>
      </c>
      <c r="C30" s="11" t="inlineStr">
        <is>
          <t>NCAP_BND</t>
        </is>
      </c>
      <c r="D30" s="9" t="n">
        <v>2035</v>
      </c>
      <c r="E30" s="12" t="n">
        <v>0.636</v>
      </c>
      <c r="F30" s="23" t="inlineStr">
        <is>
          <t>NEW_ELEC_STG_8H</t>
        </is>
      </c>
    </row>
    <row r="31" ht="18.75" customHeight="1">
      <c r="B31" s="14" t="inlineStr">
        <is>
          <t>FX</t>
        </is>
      </c>
      <c r="C31" s="14" t="inlineStr">
        <is>
          <t>NCAP_BND</t>
        </is>
      </c>
      <c r="D31" s="14" t="n">
        <v>2040</v>
      </c>
      <c r="E31" s="20" t="n">
        <v>0.636</v>
      </c>
      <c r="F31" s="22" t="inlineStr">
        <is>
          <t>NEW_ELEC_STG_8H</t>
        </is>
      </c>
    </row>
    <row r="32" ht="18.75" customHeight="1">
      <c r="B32" s="9" t="inlineStr">
        <is>
          <t>FX</t>
        </is>
      </c>
      <c r="C32" s="11" t="inlineStr">
        <is>
          <t>NCAP_BND</t>
        </is>
      </c>
      <c r="D32" s="9" t="n">
        <v>2045</v>
      </c>
      <c r="E32" s="12" t="n">
        <v>0.636</v>
      </c>
      <c r="F32" s="23" t="inlineStr">
        <is>
          <t>NEW_ELEC_STG_8H</t>
        </is>
      </c>
    </row>
    <row r="33" ht="18.75" customHeight="1">
      <c r="B33" s="21" t="inlineStr">
        <is>
          <t>FX</t>
        </is>
      </c>
      <c r="C33" s="21" t="inlineStr">
        <is>
          <t>NCAP_BND</t>
        </is>
      </c>
      <c r="D33" s="21" t="n">
        <v>2050</v>
      </c>
      <c r="E33" s="21" t="n">
        <v>0.636</v>
      </c>
      <c r="F33" s="21" t="inlineStr">
        <is>
          <t>NEW_ELEC_STG_8H</t>
        </is>
      </c>
      <c r="I33" s="7" t="n"/>
    </row>
    <row r="34">
      <c r="E34" s="13" t="n"/>
    </row>
    <row r="35"/>
    <row r="36"/>
    <row r="37"/>
    <row r="38"/>
    <row r="39"/>
    <row r="40"/>
    <row r="41"/>
    <row r="42"/>
    <row r="43"/>
    <row r="44"/>
    <row r="45"/>
    <row r="46"/>
    <row r="47"/>
    <row r="48">
      <c r="O48" t="n">
        <v>2023</v>
      </c>
      <c r="P48" t="n">
        <v>2025</v>
      </c>
      <c r="Q48" t="n">
        <v>2030</v>
      </c>
      <c r="R48" t="n">
        <v>2035</v>
      </c>
      <c r="S48" t="n">
        <v>2040</v>
      </c>
      <c r="T48" t="n">
        <v>2045</v>
      </c>
      <c r="U48" t="n">
        <v>2050</v>
      </c>
    </row>
    <row r="49">
      <c r="N49">
        <f t="array" ref="N49:N56">[1]RES!$B$7:$B$14</f>
        <v/>
      </c>
      <c r="O49" s="15" t="n">
        <v>0.1</v>
      </c>
      <c r="P49" s="15" t="n">
        <v>0.1</v>
      </c>
      <c r="Q49" s="15" t="n">
        <v>0.2</v>
      </c>
      <c r="R49" s="15" t="n">
        <v>0</v>
      </c>
      <c r="S49" s="15" t="n">
        <v>0</v>
      </c>
      <c r="T49" s="15" t="n">
        <v>0</v>
      </c>
      <c r="U49" s="15" t="n">
        <v>0</v>
      </c>
    </row>
    <row r="50">
      <c r="N50" t="inlineStr">
        <is>
          <t>ELE_EX_HIDRO</t>
        </is>
      </c>
      <c r="O50" s="15" t="n"/>
      <c r="P50" s="15" t="n"/>
      <c r="Q50" s="15" t="n"/>
      <c r="R50" s="15" t="n"/>
      <c r="S50" s="15" t="n"/>
      <c r="T50" s="15" t="n"/>
      <c r="U50" s="15" t="n"/>
    </row>
    <row r="51">
      <c r="N51" t="inlineStr">
        <is>
          <t>ELE_EX_HIDRO_RUN</t>
        </is>
      </c>
      <c r="O51" s="15" t="n"/>
      <c r="P51" s="15" t="n"/>
      <c r="Q51" s="15" t="n"/>
      <c r="R51" s="15" t="n"/>
      <c r="S51" s="15" t="n"/>
      <c r="T51" s="15" t="n"/>
      <c r="U51" s="15" t="n"/>
    </row>
    <row r="52">
      <c r="N52" t="inlineStr">
        <is>
          <t>ELE_EX_HIDRO_STORAGE_PUMP</t>
        </is>
      </c>
      <c r="O52" s="15" t="n"/>
      <c r="P52" s="15" t="n"/>
      <c r="Q52" s="15" t="n"/>
      <c r="R52" s="15" t="n"/>
      <c r="S52" s="15" t="n"/>
      <c r="T52" s="15" t="n"/>
      <c r="U52" s="15" t="n"/>
    </row>
    <row r="53">
      <c r="N53" t="inlineStr">
        <is>
          <t>ELE_EX_OTHER</t>
        </is>
      </c>
      <c r="O53" s="1" t="n">
        <v>0.24</v>
      </c>
      <c r="P53" s="1" t="n">
        <v>0.24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N54" t="inlineStr">
        <is>
          <t>ELE_EX_WIND-ON</t>
        </is>
      </c>
      <c r="O54" s="15" t="n">
        <v>0.07000000000000001</v>
      </c>
      <c r="P54" s="15" t="n">
        <v>0.07000000000000001</v>
      </c>
      <c r="Q54" s="15" t="n">
        <v>0</v>
      </c>
      <c r="R54" s="15" t="n">
        <v>0</v>
      </c>
      <c r="S54" s="15" t="n">
        <v>0</v>
      </c>
      <c r="T54" s="15" t="n">
        <v>0</v>
      </c>
      <c r="U54" s="15" t="n">
        <v>0</v>
      </c>
    </row>
    <row r="55">
      <c r="N55" t="inlineStr">
        <is>
          <t>ELE_EX_AUTOPR_PV</t>
        </is>
      </c>
      <c r="O55" s="16" t="n">
        <v>0.2</v>
      </c>
      <c r="P55" s="16" t="n">
        <v>0.2</v>
      </c>
      <c r="Q55" s="16" t="n">
        <v>0</v>
      </c>
      <c r="R55" s="16" t="n">
        <v>0</v>
      </c>
      <c r="S55" s="16" t="n">
        <v>0</v>
      </c>
      <c r="T55" s="16" t="n">
        <v>0</v>
      </c>
      <c r="U55" s="16" t="n">
        <v>0</v>
      </c>
    </row>
    <row r="56">
      <c r="N56" t="inlineStr">
        <is>
          <t>ELE_EX_AUTOPR_PV_RES</t>
        </is>
      </c>
      <c r="O56" s="15" t="n">
        <v>0.1</v>
      </c>
      <c r="P56" s="15" t="n">
        <v>0.1</v>
      </c>
      <c r="Q56" s="15" t="n">
        <v>0</v>
      </c>
      <c r="R56" s="15" t="n">
        <v>0</v>
      </c>
      <c r="S56" s="15" t="n">
        <v>0</v>
      </c>
      <c r="T56" s="15" t="n">
        <v>0</v>
      </c>
      <c r="U56" s="15" t="n">
        <v>0</v>
      </c>
    </row>
    <row r="57">
      <c r="O57" s="17" t="n">
        <v>1.17</v>
      </c>
      <c r="P57" s="1">
        <f>O57+0.049</f>
        <v/>
      </c>
      <c r="Q57" s="1">
        <f>P57+0.049</f>
        <v/>
      </c>
      <c r="R57" s="1">
        <f>Q57+0.049</f>
        <v/>
      </c>
      <c r="S57" s="1" t="n">
        <v>0</v>
      </c>
      <c r="T57" s="1" t="n">
        <v>0</v>
      </c>
      <c r="U57" s="1" t="n">
        <v>0</v>
      </c>
    </row>
    <row r="58">
      <c r="O58" s="17" t="n">
        <v>0.07199999999999999</v>
      </c>
      <c r="P58" s="1" t="n">
        <v>0.08</v>
      </c>
      <c r="Q58" s="1" t="n">
        <v>0.12</v>
      </c>
      <c r="R58" s="1" t="n">
        <v>0.16</v>
      </c>
      <c r="S58" s="1" t="n">
        <v>0.3</v>
      </c>
      <c r="T58" s="1" t="n">
        <v>0</v>
      </c>
      <c r="U58" s="1" t="n">
        <v>0</v>
      </c>
    </row>
    <row r="59" ht="13.5" customHeight="1" thickBot="1">
      <c r="O59" s="18" t="n">
        <v>1.36</v>
      </c>
      <c r="P59" s="19">
        <f>O59+0.72</f>
        <v/>
      </c>
      <c r="Q59" s="19">
        <f>P59+0.36</f>
        <v/>
      </c>
      <c r="R59" s="19">
        <f>Q59+0.36</f>
        <v/>
      </c>
      <c r="S59" s="19" t="n">
        <v>0</v>
      </c>
      <c r="T59" s="19" t="n">
        <v>0</v>
      </c>
      <c r="U59" s="19" t="n">
        <v>0</v>
      </c>
    </row>
    <row r="60">
      <c r="N60" t="inlineStr">
        <is>
          <t>TOT</t>
        </is>
      </c>
    </row>
    <row r="61">
      <c r="N61" t="inlineStr">
        <is>
          <t>PNIEC GOAL</t>
        </is>
      </c>
    </row>
  </sheetData>
  <pageMargins left="0.75" right="0.75" top="1" bottom="1" header="0.5" footer="0.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Maurizio Gargiulo</dc:creator>
  <dcterms:created xmlns:dcterms="http://purl.org/dc/terms/" xmlns:xsi="http://www.w3.org/2001/XMLSchema-instance" xsi:type="dcterms:W3CDTF">2007-09-10T09:55:31Z</dcterms:created>
  <dcterms:modified xmlns:dcterms="http://purl.org/dc/terms/" xmlns:xsi="http://www.w3.org/2001/XMLSchema-instance" xsi:type="dcterms:W3CDTF">2026-05-15T08:50:26Z</dcterms:modified>
  <cp:lastModifiedBy>Pier Luca Maria Buonomo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0x010100765A2D8ABDD1064B8560F0E0020228D7</vt:lpwstr>
  </property>
  <property name="MediaServiceImageTags" fmtid="{D5CDD505-2E9C-101B-9397-08002B2CF9AE}" pid="3">
    <vt:lpwstr xmlns:vt="http://schemas.openxmlformats.org/officeDocument/2006/docPropsVTypes"/>
  </property>
  <property name="SaveCode" fmtid="{D5CDD505-2E9C-101B-9397-08002B2CF9AE}" pid="4">
    <vt:r8 xmlns:vt="http://schemas.openxmlformats.org/officeDocument/2006/docPropsVTypes">548680603504180</vt:r8>
  </property>
</Properties>
</file>