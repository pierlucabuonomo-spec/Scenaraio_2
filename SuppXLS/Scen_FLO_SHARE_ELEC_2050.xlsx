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SCENARIO 2\MODELLO\SuppXLS\"/>
    </mc:Choice>
  </mc:AlternateContent>
  <xr:revisionPtr revIDLastSave="0" documentId="13_ncr:1_{F7EB0763-65D8-4F35-898A-D36705F82B94}" xr6:coauthVersionLast="47" xr6:coauthVersionMax="47" xr10:uidLastSave="{00000000-0000-0000-0000-000000000000}"/>
  <bookViews>
    <workbookView xWindow="23370" yWindow="3300" windowWidth="28230" windowHeight="15345" xr2:uid="{00000000-000D-0000-FFFF-FFFF00000000}"/>
  </bookViews>
  <sheets>
    <sheet name="NCAP_BND" sheetId="1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" i="1" l="1"/>
  <c r="W37" i="1" s="1"/>
  <c r="X37" i="1" s="1"/>
  <c r="V35" i="1"/>
  <c r="W35" i="1" s="1"/>
  <c r="X35" i="1" s="1"/>
  <c r="T27" i="1" a="1"/>
  <c r="T34" i="1" s="1"/>
  <c r="T27" i="1" l="1"/>
  <c r="T28" i="1"/>
  <c r="T29" i="1"/>
  <c r="T30" i="1"/>
  <c r="T31" i="1"/>
  <c r="T32" i="1"/>
  <c r="T33" i="1"/>
</calcChain>
</file>

<file path=xl/sharedStrings.xml><?xml version="1.0" encoding="utf-8"?>
<sst xmlns="http://schemas.openxmlformats.org/spreadsheetml/2006/main" count="45" uniqueCount="22">
  <si>
    <t xml:space="preserve"> </t>
  </si>
  <si>
    <t>~TFM_INS</t>
  </si>
  <si>
    <t>SAR</t>
  </si>
  <si>
    <t>Pset_PN</t>
  </si>
  <si>
    <t>TOT</t>
  </si>
  <si>
    <t>PNIEC GOAL</t>
  </si>
  <si>
    <t>Region</t>
  </si>
  <si>
    <t>Commodity</t>
  </si>
  <si>
    <t>DEM_FIN_RES</t>
  </si>
  <si>
    <t>DEM_FIN_IND</t>
  </si>
  <si>
    <t>DEM_FIN_SER</t>
  </si>
  <si>
    <t>DEM_FIN_AGR</t>
  </si>
  <si>
    <t>DEM_FIN_TRS</t>
  </si>
  <si>
    <t>ELEC_LV_DIST</t>
  </si>
  <si>
    <t>LO</t>
  </si>
  <si>
    <t>\I: Bound Type</t>
  </si>
  <si>
    <t>Process set: Process name</t>
  </si>
  <si>
    <t>Attribute</t>
  </si>
  <si>
    <t>Attribute Name</t>
  </si>
  <si>
    <t>FLO_SHAR</t>
  </si>
  <si>
    <t>LimType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</si>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</sst>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\Te\x\t"/>
  </numFmts>
  <fonts count="10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  <font>
      <u/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164" fontId="2" fillId="4" borderId="0" xfId="0" applyNumberFormat="1" applyFont="1" applyFill="1"/>
    <xf numFmtId="0" fontId="3" fillId="3" borderId="0" xfId="0" applyFont="1" applyFill="1"/>
    <xf numFmtId="0" fontId="5" fillId="3" borderId="0" xfId="0" applyFont="1" applyFill="1"/>
    <xf numFmtId="0" fontId="1" fillId="0" borderId="0" xfId="0" applyFont="1"/>
    <xf numFmtId="0" fontId="3" fillId="5" borderId="0" xfId="0" applyFont="1" applyFill="1"/>
    <xf numFmtId="164" fontId="3" fillId="0" borderId="0" xfId="0" applyNumberFormat="1" applyFont="1"/>
    <xf numFmtId="0" fontId="3" fillId="4" borderId="0" xfId="0" applyFont="1" applyFill="1"/>
    <xf numFmtId="164" fontId="7" fillId="5" borderId="0" xfId="0" applyNumberFormat="1" applyFont="1" applyFill="1"/>
    <xf numFmtId="164" fontId="7" fillId="4" borderId="0" xfId="0" applyNumberFormat="1" applyFont="1" applyFill="1"/>
    <xf numFmtId="164" fontId="6" fillId="4" borderId="0" xfId="0" applyNumberFormat="1" applyFont="1" applyFill="1"/>
    <xf numFmtId="164" fontId="6" fillId="5" borderId="2" xfId="0" applyNumberFormat="1" applyFont="1" applyFill="1" applyBorder="1"/>
    <xf numFmtId="164" fontId="7" fillId="5" borderId="2" xfId="0" applyNumberFormat="1" applyFont="1" applyFill="1" applyBorder="1"/>
    <xf numFmtId="0" fontId="3" fillId="3" borderId="1" xfId="0" applyFont="1" applyFill="1" applyBorder="1"/>
    <xf numFmtId="0" fontId="0" fillId="5" borderId="0" xfId="0" applyFill="1"/>
    <xf numFmtId="0" fontId="8" fillId="3" borderId="0" xfId="0" applyFont="1" applyFill="1"/>
    <xf numFmtId="0" fontId="4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7" fillId="6" borderId="4" xfId="0" applyNumberFormat="1" applyFont="1" applyFill="1" applyBorder="1" applyAlignment="1">
      <alignment horizontal="center" vertical="center" wrapText="1"/>
    </xf>
    <xf numFmtId="165" fontId="9" fillId="6" borderId="4" xfId="0" applyNumberFormat="1" applyFont="1" applyFill="1" applyBorder="1" applyAlignment="1">
      <alignment horizontal="center" vertical="center" wrapText="1"/>
    </xf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9"/>
  <sheetViews>
    <sheetView tabSelected="1" topLeftCell="A4" zoomScale="115" zoomScaleNormal="115" workbookViewId="0">
      <selection activeCell="K25" sqref="K25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3.28515625" customWidth="1"/>
    <col min="4" max="4" width="20.28515625" customWidth="1"/>
    <col min="5" max="5" width="13.5703125" customWidth="1"/>
    <col min="6" max="12" width="11.85546875" customWidth="1"/>
    <col min="13" max="14" width="2.28515625" customWidth="1"/>
    <col min="20" max="20" width="25.85546875" customWidth="1"/>
  </cols>
  <sheetData>
    <row r="2" spans="2:12" x14ac:dyDescent="0.2">
      <c r="B2" s="4" t="s">
        <v>0</v>
      </c>
      <c r="C2" s="4"/>
    </row>
    <row r="4" spans="2:12" ht="18.75" customHeight="1" thickBot="1" x14ac:dyDescent="0.3">
      <c r="B4" s="15" t="s">
        <v>1</v>
      </c>
      <c r="C4" s="15"/>
      <c r="D4" s="3"/>
      <c r="E4" s="3"/>
      <c r="F4" s="3"/>
      <c r="G4" s="3"/>
      <c r="H4" s="3"/>
      <c r="I4" s="3"/>
      <c r="J4" s="3"/>
      <c r="K4" s="3"/>
      <c r="L4" s="3"/>
    </row>
    <row r="5" spans="2:12" ht="13.5" customHeight="1" x14ac:dyDescent="0.2">
      <c r="B5" s="16" t="s">
        <v>20</v>
      </c>
      <c r="C5" s="16" t="s">
        <v>17</v>
      </c>
      <c r="D5" s="16" t="s">
        <v>3</v>
      </c>
      <c r="E5" s="16" t="s">
        <v>7</v>
      </c>
      <c r="F5" s="16" t="s">
        <v>6</v>
      </c>
      <c r="G5" s="16">
        <v>2025</v>
      </c>
      <c r="H5" s="16">
        <v>2030</v>
      </c>
      <c r="I5" s="16">
        <v>2035</v>
      </c>
      <c r="J5" s="16">
        <v>2040</v>
      </c>
      <c r="K5" s="16">
        <v>2045</v>
      </c>
      <c r="L5" s="16">
        <v>2050</v>
      </c>
    </row>
    <row r="6" spans="2:12" ht="33" customHeight="1" thickBot="1" x14ac:dyDescent="0.25">
      <c r="B6" s="23" t="s">
        <v>15</v>
      </c>
      <c r="C6" s="22" t="s">
        <v>18</v>
      </c>
      <c r="D6" s="22" t="s">
        <v>16</v>
      </c>
      <c r="E6" s="22" t="s">
        <v>7</v>
      </c>
      <c r="F6" s="22" t="s">
        <v>6</v>
      </c>
      <c r="G6" s="22" t="s">
        <v>21</v>
      </c>
      <c r="H6" s="22" t="s">
        <v>21</v>
      </c>
      <c r="I6" s="22" t="s">
        <v>21</v>
      </c>
      <c r="J6" s="22" t="s">
        <v>21</v>
      </c>
      <c r="K6" s="22" t="s">
        <v>21</v>
      </c>
      <c r="L6" s="22" t="s">
        <v>21</v>
      </c>
    </row>
    <row r="7" spans="2:12" ht="18.95" customHeight="1" x14ac:dyDescent="0.2">
      <c r="B7" s="2" t="s">
        <v>14</v>
      </c>
      <c r="C7" s="2" t="s">
        <v>19</v>
      </c>
      <c r="D7" s="2" t="s">
        <v>8</v>
      </c>
      <c r="E7" s="2" t="s">
        <v>13</v>
      </c>
      <c r="F7" s="18" t="s">
        <v>2</v>
      </c>
      <c r="G7" s="2">
        <v>0.57999999999999996</v>
      </c>
      <c r="H7" s="2">
        <v>0.65</v>
      </c>
      <c r="I7" s="2">
        <v>0.7</v>
      </c>
      <c r="J7" s="2">
        <v>0.75</v>
      </c>
      <c r="K7" s="2">
        <v>0.8</v>
      </c>
      <c r="L7" s="2">
        <v>0.85</v>
      </c>
    </row>
    <row r="8" spans="2:12" ht="18.95" customHeight="1" x14ac:dyDescent="0.2">
      <c r="B8" s="5" t="s">
        <v>14</v>
      </c>
      <c r="C8" s="5" t="s">
        <v>19</v>
      </c>
      <c r="D8" s="5" t="s">
        <v>9</v>
      </c>
      <c r="E8" s="5" t="s">
        <v>13</v>
      </c>
      <c r="F8" s="19" t="s">
        <v>2</v>
      </c>
      <c r="G8" s="5">
        <v>0.4</v>
      </c>
      <c r="H8" s="5">
        <v>0.45</v>
      </c>
      <c r="I8" s="5">
        <v>0.5</v>
      </c>
      <c r="J8" s="5">
        <v>0.55000000000000004</v>
      </c>
      <c r="K8" s="5">
        <v>0.6</v>
      </c>
      <c r="L8" s="14">
        <v>0.65</v>
      </c>
    </row>
    <row r="9" spans="2:12" ht="18.95" customHeight="1" x14ac:dyDescent="0.2">
      <c r="B9" s="2" t="s">
        <v>14</v>
      </c>
      <c r="C9" s="2" t="s">
        <v>19</v>
      </c>
      <c r="D9" s="7" t="s">
        <v>10</v>
      </c>
      <c r="E9" s="2" t="s">
        <v>13</v>
      </c>
      <c r="F9" s="20" t="s">
        <v>2</v>
      </c>
      <c r="G9" s="7">
        <v>0.7</v>
      </c>
      <c r="H9" s="7">
        <v>0.75</v>
      </c>
      <c r="I9" s="7">
        <v>0.8</v>
      </c>
      <c r="J9" s="7">
        <v>0.85</v>
      </c>
      <c r="K9" s="7">
        <v>0.9</v>
      </c>
      <c r="L9" s="7">
        <v>0.95</v>
      </c>
    </row>
    <row r="10" spans="2:12" ht="18.95" customHeight="1" x14ac:dyDescent="0.2">
      <c r="B10" s="5" t="s">
        <v>14</v>
      </c>
      <c r="C10" s="5" t="s">
        <v>19</v>
      </c>
      <c r="D10" s="5" t="s">
        <v>11</v>
      </c>
      <c r="E10" s="5" t="s">
        <v>13</v>
      </c>
      <c r="F10" s="19" t="s">
        <v>2</v>
      </c>
      <c r="G10" s="5">
        <v>0.05</v>
      </c>
      <c r="H10" s="5">
        <v>0.1</v>
      </c>
      <c r="I10" s="5">
        <v>0.15</v>
      </c>
      <c r="J10" s="5">
        <v>0.2</v>
      </c>
      <c r="K10" s="5">
        <v>0.25</v>
      </c>
      <c r="L10" s="14">
        <v>0.3</v>
      </c>
    </row>
    <row r="11" spans="2:12" ht="18.75" customHeight="1" x14ac:dyDescent="0.2">
      <c r="B11" s="13" t="s">
        <v>14</v>
      </c>
      <c r="C11" s="13" t="s">
        <v>19</v>
      </c>
      <c r="D11" s="13" t="s">
        <v>12</v>
      </c>
      <c r="E11" s="13" t="s">
        <v>13</v>
      </c>
      <c r="F11" s="21" t="s">
        <v>2</v>
      </c>
      <c r="G11" s="17">
        <v>0.02</v>
      </c>
      <c r="H11" s="13">
        <v>0.1</v>
      </c>
      <c r="I11" s="13">
        <v>0.2</v>
      </c>
      <c r="J11" s="13">
        <v>0.3</v>
      </c>
      <c r="K11" s="13">
        <v>0.4</v>
      </c>
      <c r="L11" s="13">
        <v>0.5</v>
      </c>
    </row>
    <row r="12" spans="2:12" x14ac:dyDescent="0.2">
      <c r="F12" s="6"/>
      <c r="G12" s="6"/>
      <c r="H12" s="6"/>
      <c r="I12" s="6"/>
      <c r="J12" s="6"/>
      <c r="K12" s="6"/>
    </row>
    <row r="26" spans="5:27" x14ac:dyDescent="0.2">
      <c r="U26">
        <v>2023</v>
      </c>
      <c r="V26">
        <v>2025</v>
      </c>
      <c r="W26">
        <v>2030</v>
      </c>
      <c r="X26">
        <v>2035</v>
      </c>
      <c r="Y26">
        <v>2040</v>
      </c>
      <c r="Z26">
        <v>2045</v>
      </c>
      <c r="AA26">
        <v>2050</v>
      </c>
    </row>
    <row r="27" spans="5:27" x14ac:dyDescent="0.2">
      <c r="E27" s="14"/>
      <c r="T27" t="str">
        <f t="array" ref="T27:T34">[1]RES!$B$7:$B$14</f>
        <v>ELE_EX_BIOMASS</v>
      </c>
      <c r="U27" s="8">
        <v>0.1</v>
      </c>
      <c r="V27" s="8">
        <v>0.1</v>
      </c>
      <c r="W27" s="8">
        <v>0.2</v>
      </c>
      <c r="X27" s="8">
        <v>0</v>
      </c>
      <c r="Y27" s="8">
        <v>0</v>
      </c>
      <c r="Z27" s="8">
        <v>0</v>
      </c>
      <c r="AA27" s="8">
        <v>0</v>
      </c>
    </row>
    <row r="28" spans="5:27" x14ac:dyDescent="0.2">
      <c r="T28" t="str">
        <v>ELE_EX_HIDRO</v>
      </c>
      <c r="U28" s="8"/>
      <c r="V28" s="8"/>
      <c r="W28" s="8"/>
      <c r="X28" s="8"/>
      <c r="Y28" s="8"/>
      <c r="Z28" s="8"/>
      <c r="AA28" s="8"/>
    </row>
    <row r="29" spans="5:27" x14ac:dyDescent="0.2">
      <c r="T29" t="str">
        <v>ELE_EX_HIDRO_RUN</v>
      </c>
      <c r="U29" s="8"/>
      <c r="V29" s="8"/>
      <c r="W29" s="8"/>
      <c r="X29" s="8"/>
      <c r="Y29" s="8"/>
      <c r="Z29" s="8"/>
      <c r="AA29" s="8"/>
    </row>
    <row r="30" spans="5:27" x14ac:dyDescent="0.2">
      <c r="T30" t="str">
        <v>ELE_EX_HIDRO_STORAGE_PUMP</v>
      </c>
      <c r="U30" s="8"/>
      <c r="V30" s="8"/>
      <c r="W30" s="8"/>
      <c r="X30" s="8"/>
      <c r="Y30" s="8"/>
      <c r="Z30" s="8"/>
      <c r="AA30" s="8"/>
    </row>
    <row r="31" spans="5:27" x14ac:dyDescent="0.2">
      <c r="T31" t="str">
        <v>ELE_EX_OTHER</v>
      </c>
      <c r="U31" s="1">
        <v>0.24</v>
      </c>
      <c r="V31" s="1">
        <v>0.24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</row>
    <row r="32" spans="5:27" x14ac:dyDescent="0.2">
      <c r="T32" t="str">
        <v>ELE_EX_WIND-ON</v>
      </c>
      <c r="U32" s="8">
        <v>7.0000000000000007E-2</v>
      </c>
      <c r="V32" s="8">
        <v>7.0000000000000007E-2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</row>
    <row r="33" spans="20:27" x14ac:dyDescent="0.2">
      <c r="T33" t="str">
        <v>ELE_EX_AUTOPR_PV</v>
      </c>
      <c r="U33" s="9">
        <v>0.2</v>
      </c>
      <c r="V33" s="9">
        <v>0.2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</row>
    <row r="34" spans="20:27" x14ac:dyDescent="0.2">
      <c r="T34" t="str">
        <v>ELE_EX_AUTOPR_PV_RES</v>
      </c>
      <c r="U34" s="8">
        <v>0.1</v>
      </c>
      <c r="V34" s="8">
        <v>0.1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</row>
    <row r="35" spans="20:27" x14ac:dyDescent="0.2">
      <c r="U35" s="10">
        <v>1.17</v>
      </c>
      <c r="V35" s="1">
        <f>U35+0.049</f>
        <v>1.2189999999999999</v>
      </c>
      <c r="W35" s="1">
        <f>V35+0.049</f>
        <v>1.2679999999999998</v>
      </c>
      <c r="X35" s="1">
        <f>W35+0.049</f>
        <v>1.3169999999999997</v>
      </c>
      <c r="Y35" s="1">
        <v>0</v>
      </c>
      <c r="Z35" s="1">
        <v>0</v>
      </c>
      <c r="AA35" s="1">
        <v>0</v>
      </c>
    </row>
    <row r="36" spans="20:27" x14ac:dyDescent="0.2">
      <c r="U36" s="10">
        <v>7.1999999999999995E-2</v>
      </c>
      <c r="V36" s="1">
        <v>0.08</v>
      </c>
      <c r="W36" s="1">
        <v>0.12</v>
      </c>
      <c r="X36" s="1">
        <v>0.16</v>
      </c>
      <c r="Y36" s="1">
        <v>0.3</v>
      </c>
      <c r="Z36" s="1">
        <v>0</v>
      </c>
      <c r="AA36" s="1">
        <v>0</v>
      </c>
    </row>
    <row r="37" spans="20:27" ht="13.5" customHeight="1" thickBot="1" x14ac:dyDescent="0.25">
      <c r="U37" s="11">
        <v>1.36</v>
      </c>
      <c r="V37" s="12">
        <f>U37+0.72</f>
        <v>2.08</v>
      </c>
      <c r="W37" s="12">
        <f>V37+0.36</f>
        <v>2.44</v>
      </c>
      <c r="X37" s="12">
        <f>W37+0.36</f>
        <v>2.8</v>
      </c>
      <c r="Y37" s="12">
        <v>0</v>
      </c>
      <c r="Z37" s="12">
        <v>0</v>
      </c>
      <c r="AA37" s="12">
        <v>0</v>
      </c>
    </row>
    <row r="38" spans="20:27" x14ac:dyDescent="0.2">
      <c r="T38" t="s">
        <v>4</v>
      </c>
    </row>
    <row r="39" spans="20:27" x14ac:dyDescent="0.2">
      <c r="T39" t="s">
        <v>5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cp:lastPrinted>2026-06-09T12:19:33Z</cp:lastPrinted>
  <dcterms:created xsi:type="dcterms:W3CDTF">2007-09-10T09:55:31Z</dcterms:created>
  <dcterms:modified xsi:type="dcterms:W3CDTF">2026-06-16T09:22:07Z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