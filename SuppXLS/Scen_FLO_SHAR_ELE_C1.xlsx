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SCENARIO 2\MODELLO\SuppXLS\"/>
    </mc:Choice>
  </mc:AlternateContent>
  <xr:revisionPtr revIDLastSave="0" documentId="13_ncr:1_{527A3763-DB20-4E88-B703-D1BBD05420F2}" xr6:coauthVersionLast="47" xr6:coauthVersionMax="47" xr10:uidLastSave="{00000000-0000-0000-0000-000000000000}"/>
  <bookViews>
    <workbookView xWindow="8190" yWindow="2010" windowWidth="28230" windowHeight="15345" xr2:uid="{00000000-000D-0000-FFFF-FFFF00000000}"/>
  </bookViews>
  <sheets>
    <sheet name="FLO_SHAR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1" l="1"/>
  <c r="R62" i="1" s="1"/>
  <c r="S62" i="1" s="1"/>
  <c r="Q60" i="1"/>
  <c r="R60" i="1" s="1"/>
  <c r="S60" i="1" s="1"/>
  <c r="O52" i="1" a="1"/>
  <c r="O59" i="1" s="1"/>
  <c r="O52" i="1" l="1"/>
  <c r="O53" i="1"/>
  <c r="O54" i="1"/>
  <c r="O55" i="1"/>
  <c r="O56" i="1"/>
  <c r="O57" i="1"/>
  <c r="O58" i="1"/>
</calcChain>
</file>

<file path=xl/sharedStrings.xml><?xml version="1.0" encoding="utf-8"?>
<sst xmlns="http://schemas.openxmlformats.org/spreadsheetml/2006/main" count="136" uniqueCount="23">
  <si>
    <t xml:space="preserve"> </t>
  </si>
  <si>
    <t>~TFM_INS</t>
  </si>
  <si>
    <t>LimType</t>
  </si>
  <si>
    <t>Attribute</t>
  </si>
  <si>
    <t>Year</t>
  </si>
  <si>
    <t>\I: Bound Type</t>
  </si>
  <si>
    <t>Attribute Name</t>
  </si>
  <si>
    <t>TOT</t>
  </si>
  <si>
    <t>PNIEC GOAL</t>
  </si>
  <si>
    <t>LO</t>
  </si>
  <si>
    <t>Commodity-in</t>
  </si>
  <si>
    <t>ELEC_LV_DIST</t>
  </si>
  <si>
    <t>DEM_FIN_RES</t>
  </si>
  <si>
    <t>DEM_FIN_IND</t>
  </si>
  <si>
    <t>DEM_FIN_SER</t>
  </si>
  <si>
    <t>DEM_FIN_AGR</t>
  </si>
  <si>
    <t>DEM_FIN_TRS</t>
  </si>
  <si>
    <t>SAR</t>
  </si>
  <si>
    <t>Value in Region [share]</t>
  </si>
  <si>
    <t>FLO_SHAR</t>
  </si>
  <si>
    <t>Commodity-Out</t>
  </si>
  <si>
    <t>Pset_CI</t>
  </si>
  <si>
    <t>Pset_CO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</si>
</sst>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0" fontId="3" fillId="7" borderId="0" xfId="0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0" fontId="3" fillId="4" borderId="3" xfId="0" applyFont="1" applyFill="1" applyBorder="1"/>
    <xf numFmtId="0" fontId="0" fillId="7" borderId="0" xfId="0" applyFill="1"/>
    <xf numFmtId="0" fontId="8" fillId="4" borderId="0" xfId="0" applyFont="1" applyFill="1"/>
    <xf numFmtId="0" fontId="3" fillId="0" borderId="0" xfId="0" applyFont="1"/>
    <xf numFmtId="0" fontId="3" fillId="6" borderId="3" xfId="0" applyFont="1" applyFill="1" applyBorder="1"/>
    <xf numFmtId="0" fontId="0" fillId="6" borderId="0" xfId="0" applyFill="1"/>
    <xf numFmtId="0" fontId="9" fillId="0" borderId="0" xfId="0" applyFont="1"/>
    <xf numFmtId="0" fontId="10" fillId="7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64"/>
  <sheetViews>
    <sheetView tabSelected="1" zoomScale="200" zoomScaleNormal="200" workbookViewId="0">
      <selection activeCell="G5" sqref="G5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8.140625" customWidth="1"/>
    <col min="6" max="6" width="13.42578125" customWidth="1"/>
    <col min="7" max="7" width="20.28515625" customWidth="1"/>
    <col min="8" max="9" width="2.28515625" customWidth="1"/>
    <col min="15" max="15" width="25.85546875" customWidth="1"/>
  </cols>
  <sheetData>
    <row r="2" spans="2:10" x14ac:dyDescent="0.2">
      <c r="B2" s="7" t="s">
        <v>0</v>
      </c>
    </row>
    <row r="4" spans="2:10" ht="18.75" customHeight="1" thickBot="1" x14ac:dyDescent="0.3">
      <c r="B4" s="19" t="s">
        <v>1</v>
      </c>
      <c r="C4" s="3"/>
      <c r="D4" s="3"/>
      <c r="E4" s="3"/>
      <c r="F4" s="3"/>
      <c r="G4" s="3"/>
    </row>
    <row r="5" spans="2:10" ht="13.5" customHeight="1" thickBot="1" x14ac:dyDescent="0.25">
      <c r="B5" s="4" t="s">
        <v>2</v>
      </c>
      <c r="C5" s="4" t="s">
        <v>3</v>
      </c>
      <c r="D5" s="4" t="s">
        <v>4</v>
      </c>
      <c r="E5" s="4" t="s">
        <v>21</v>
      </c>
      <c r="F5" s="4" t="s">
        <v>17</v>
      </c>
      <c r="G5" s="4" t="s">
        <v>22</v>
      </c>
    </row>
    <row r="6" spans="2:10" ht="26.25" customHeight="1" thickBot="1" x14ac:dyDescent="0.25">
      <c r="B6" s="5" t="s">
        <v>5</v>
      </c>
      <c r="C6" s="5" t="s">
        <v>6</v>
      </c>
      <c r="D6" s="5" t="s">
        <v>4</v>
      </c>
      <c r="E6" s="5" t="s">
        <v>10</v>
      </c>
      <c r="F6" s="5" t="s">
        <v>18</v>
      </c>
      <c r="G6" s="5" t="s">
        <v>20</v>
      </c>
    </row>
    <row r="7" spans="2:10" s="23" customFormat="1" ht="18.95" customHeight="1" x14ac:dyDescent="0.2">
      <c r="B7" s="24" t="s">
        <v>9</v>
      </c>
      <c r="C7" s="24" t="s">
        <v>19</v>
      </c>
      <c r="D7" s="24">
        <v>2025</v>
      </c>
      <c r="E7" s="24" t="s">
        <v>11</v>
      </c>
      <c r="F7" s="24">
        <v>0.57999999999999996</v>
      </c>
      <c r="G7" s="24" t="s">
        <v>12</v>
      </c>
    </row>
    <row r="8" spans="2:10" ht="18.95" customHeight="1" x14ac:dyDescent="0.2">
      <c r="B8" s="2" t="s">
        <v>9</v>
      </c>
      <c r="C8" s="11" t="s">
        <v>19</v>
      </c>
      <c r="D8" s="2">
        <v>2030</v>
      </c>
      <c r="E8" s="2" t="s">
        <v>11</v>
      </c>
      <c r="F8" s="2">
        <v>0.65</v>
      </c>
      <c r="G8" s="2" t="s">
        <v>12</v>
      </c>
    </row>
    <row r="9" spans="2:10" ht="18.95" customHeight="1" x14ac:dyDescent="0.2">
      <c r="B9" s="9" t="s">
        <v>9</v>
      </c>
      <c r="C9" s="9" t="s">
        <v>19</v>
      </c>
      <c r="D9" s="9">
        <v>2035</v>
      </c>
      <c r="E9" s="9" t="s">
        <v>11</v>
      </c>
      <c r="F9" s="9">
        <v>0.7</v>
      </c>
      <c r="G9" s="9" t="s">
        <v>12</v>
      </c>
    </row>
    <row r="10" spans="2:10" ht="18.95" customHeight="1" x14ac:dyDescent="0.2">
      <c r="B10" s="11" t="s">
        <v>9</v>
      </c>
      <c r="C10" s="11" t="s">
        <v>19</v>
      </c>
      <c r="D10" s="11">
        <v>2040</v>
      </c>
      <c r="E10" s="2" t="s">
        <v>11</v>
      </c>
      <c r="F10" s="11">
        <v>0.75</v>
      </c>
      <c r="G10" s="2" t="s">
        <v>12</v>
      </c>
    </row>
    <row r="11" spans="2:10" ht="18.95" customHeight="1" x14ac:dyDescent="0.2">
      <c r="B11" s="9" t="s">
        <v>9</v>
      </c>
      <c r="C11" s="9" t="s">
        <v>19</v>
      </c>
      <c r="D11" s="9">
        <v>2045</v>
      </c>
      <c r="E11" s="9" t="s">
        <v>11</v>
      </c>
      <c r="F11" s="9">
        <v>0.8</v>
      </c>
      <c r="G11" s="9" t="s">
        <v>12</v>
      </c>
    </row>
    <row r="12" spans="2:10" ht="18.75" customHeight="1" x14ac:dyDescent="0.2">
      <c r="B12" s="2" t="s">
        <v>9</v>
      </c>
      <c r="C12" s="11" t="s">
        <v>19</v>
      </c>
      <c r="D12" s="2">
        <v>2050</v>
      </c>
      <c r="E12" s="2" t="s">
        <v>11</v>
      </c>
      <c r="F12" s="11">
        <v>0.85</v>
      </c>
      <c r="G12" s="2" t="s">
        <v>12</v>
      </c>
    </row>
    <row r="13" spans="2:10" ht="18.75" customHeight="1" x14ac:dyDescent="0.2">
      <c r="B13" s="8" t="s">
        <v>9</v>
      </c>
      <c r="C13" s="9" t="s">
        <v>19</v>
      </c>
      <c r="D13" s="8">
        <v>2025</v>
      </c>
      <c r="E13" s="9" t="s">
        <v>11</v>
      </c>
      <c r="F13" s="9">
        <v>0.4</v>
      </c>
      <c r="G13" s="9" t="s">
        <v>13</v>
      </c>
      <c r="J13" s="6"/>
    </row>
    <row r="14" spans="2:10" ht="18.75" customHeight="1" x14ac:dyDescent="0.2">
      <c r="B14" s="2" t="s">
        <v>9</v>
      </c>
      <c r="C14" s="11" t="s">
        <v>19</v>
      </c>
      <c r="D14" s="2">
        <v>2030</v>
      </c>
      <c r="E14" s="2" t="s">
        <v>11</v>
      </c>
      <c r="F14" s="11">
        <v>0.45</v>
      </c>
      <c r="G14" s="20" t="s">
        <v>13</v>
      </c>
    </row>
    <row r="15" spans="2:10" ht="18.75" customHeight="1" x14ac:dyDescent="0.2">
      <c r="B15" s="9" t="s">
        <v>9</v>
      </c>
      <c r="C15" s="9" t="s">
        <v>19</v>
      </c>
      <c r="D15" s="9">
        <v>2035</v>
      </c>
      <c r="E15" s="9" t="s">
        <v>11</v>
      </c>
      <c r="F15" s="9">
        <v>0.5</v>
      </c>
      <c r="G15" s="9" t="s">
        <v>13</v>
      </c>
    </row>
    <row r="16" spans="2:10" ht="18.75" customHeight="1" x14ac:dyDescent="0.2">
      <c r="B16" s="11" t="s">
        <v>9</v>
      </c>
      <c r="C16" s="11" t="s">
        <v>19</v>
      </c>
      <c r="D16" s="11">
        <v>2040</v>
      </c>
      <c r="E16" s="2" t="s">
        <v>11</v>
      </c>
      <c r="F16" s="11">
        <v>0.55000000000000004</v>
      </c>
      <c r="G16" s="20" t="s">
        <v>13</v>
      </c>
    </row>
    <row r="17" spans="2:11" ht="18.75" customHeight="1" x14ac:dyDescent="0.2">
      <c r="B17" s="9" t="s">
        <v>9</v>
      </c>
      <c r="C17" s="9" t="s">
        <v>19</v>
      </c>
      <c r="D17" s="9">
        <v>2045</v>
      </c>
      <c r="E17" s="9" t="s">
        <v>11</v>
      </c>
      <c r="F17" s="9">
        <v>0.6</v>
      </c>
      <c r="G17" s="9" t="s">
        <v>13</v>
      </c>
    </row>
    <row r="18" spans="2:11" ht="18.75" customHeight="1" x14ac:dyDescent="0.2">
      <c r="B18" s="11" t="s">
        <v>9</v>
      </c>
      <c r="C18" s="11" t="s">
        <v>19</v>
      </c>
      <c r="D18" s="11">
        <v>2050</v>
      </c>
      <c r="E18" s="2" t="s">
        <v>11</v>
      </c>
      <c r="F18" s="11">
        <v>0.65</v>
      </c>
      <c r="G18" s="20" t="s">
        <v>13</v>
      </c>
    </row>
    <row r="19" spans="2:11" ht="18.75" customHeight="1" x14ac:dyDescent="0.2">
      <c r="B19" s="9" t="s">
        <v>9</v>
      </c>
      <c r="C19" s="9" t="s">
        <v>19</v>
      </c>
      <c r="D19" s="9">
        <v>2025</v>
      </c>
      <c r="E19" s="9" t="s">
        <v>11</v>
      </c>
      <c r="F19" s="9">
        <v>0.7</v>
      </c>
      <c r="G19" s="9" t="s">
        <v>14</v>
      </c>
      <c r="K19" s="1"/>
    </row>
    <row r="20" spans="2:11" ht="18.75" customHeight="1" x14ac:dyDescent="0.2">
      <c r="B20" s="11" t="s">
        <v>9</v>
      </c>
      <c r="C20" s="11" t="s">
        <v>19</v>
      </c>
      <c r="D20" s="11">
        <v>2030</v>
      </c>
      <c r="E20" s="2" t="s">
        <v>11</v>
      </c>
      <c r="F20" s="11">
        <v>0.75</v>
      </c>
      <c r="G20" s="11" t="s">
        <v>14</v>
      </c>
      <c r="K20" s="1"/>
    </row>
    <row r="21" spans="2:11" ht="18.75" customHeight="1" x14ac:dyDescent="0.2">
      <c r="B21" s="8" t="s">
        <v>9</v>
      </c>
      <c r="C21" s="9" t="s">
        <v>19</v>
      </c>
      <c r="D21" s="9">
        <v>2035</v>
      </c>
      <c r="E21" s="9" t="s">
        <v>11</v>
      </c>
      <c r="F21" s="9">
        <v>0.8</v>
      </c>
      <c r="G21" s="9" t="s">
        <v>14</v>
      </c>
      <c r="K21" s="1"/>
    </row>
    <row r="22" spans="2:11" ht="18.75" customHeight="1" x14ac:dyDescent="0.2">
      <c r="B22" s="11" t="s">
        <v>9</v>
      </c>
      <c r="C22" s="11" t="s">
        <v>19</v>
      </c>
      <c r="D22" s="11">
        <v>2040</v>
      </c>
      <c r="E22" s="2" t="s">
        <v>11</v>
      </c>
      <c r="F22" s="11">
        <v>0.85</v>
      </c>
      <c r="G22" s="11" t="s">
        <v>14</v>
      </c>
      <c r="K22" s="1"/>
    </row>
    <row r="23" spans="2:11" ht="18.75" customHeight="1" x14ac:dyDescent="0.2">
      <c r="B23" s="8" t="s">
        <v>9</v>
      </c>
      <c r="C23" s="9" t="s">
        <v>19</v>
      </c>
      <c r="D23" s="9">
        <v>2045</v>
      </c>
      <c r="E23" s="9" t="s">
        <v>11</v>
      </c>
      <c r="F23" s="9">
        <v>0.9</v>
      </c>
      <c r="G23" s="9" t="s">
        <v>14</v>
      </c>
      <c r="K23" s="1"/>
    </row>
    <row r="24" spans="2:11" ht="18.75" customHeight="1" x14ac:dyDescent="0.2">
      <c r="B24" s="11" t="s">
        <v>9</v>
      </c>
      <c r="C24" s="11" t="s">
        <v>19</v>
      </c>
      <c r="D24" s="11">
        <v>2050</v>
      </c>
      <c r="E24" s="2" t="s">
        <v>11</v>
      </c>
      <c r="F24" s="11">
        <v>0.95</v>
      </c>
      <c r="G24" s="11" t="s">
        <v>14</v>
      </c>
      <c r="K24" s="1"/>
    </row>
    <row r="25" spans="2:11" ht="18.75" customHeight="1" x14ac:dyDescent="0.2">
      <c r="B25" s="8" t="s">
        <v>9</v>
      </c>
      <c r="C25" s="9" t="s">
        <v>19</v>
      </c>
      <c r="D25" s="9">
        <v>2025</v>
      </c>
      <c r="E25" s="9" t="s">
        <v>11</v>
      </c>
      <c r="F25" s="9">
        <v>0.05</v>
      </c>
      <c r="G25" s="9" t="s">
        <v>15</v>
      </c>
      <c r="K25" s="1"/>
    </row>
    <row r="26" spans="2:11" ht="18.75" customHeight="1" x14ac:dyDescent="0.2">
      <c r="B26" s="11" t="s">
        <v>9</v>
      </c>
      <c r="C26" s="11" t="s">
        <v>19</v>
      </c>
      <c r="D26" s="11">
        <v>2030</v>
      </c>
      <c r="E26" s="2" t="s">
        <v>11</v>
      </c>
      <c r="F26" s="11">
        <v>0.1</v>
      </c>
      <c r="G26" s="11" t="s">
        <v>15</v>
      </c>
      <c r="K26" s="1"/>
    </row>
    <row r="27" spans="2:11" ht="18.75" customHeight="1" x14ac:dyDescent="0.2">
      <c r="B27" s="8" t="s">
        <v>9</v>
      </c>
      <c r="C27" s="9" t="s">
        <v>19</v>
      </c>
      <c r="D27" s="9">
        <v>2035</v>
      </c>
      <c r="E27" s="9" t="s">
        <v>11</v>
      </c>
      <c r="F27" s="9">
        <v>0.15</v>
      </c>
      <c r="G27" s="9" t="s">
        <v>15</v>
      </c>
      <c r="K27" s="1"/>
    </row>
    <row r="28" spans="2:11" ht="18.75" customHeight="1" x14ac:dyDescent="0.2">
      <c r="B28" s="11" t="s">
        <v>9</v>
      </c>
      <c r="C28" s="11" t="s">
        <v>19</v>
      </c>
      <c r="D28" s="11">
        <v>2040</v>
      </c>
      <c r="E28" s="2" t="s">
        <v>11</v>
      </c>
      <c r="F28" s="11">
        <v>0.2</v>
      </c>
      <c r="G28" s="11" t="s">
        <v>15</v>
      </c>
      <c r="K28" s="1"/>
    </row>
    <row r="29" spans="2:11" ht="18.75" customHeight="1" x14ac:dyDescent="0.2">
      <c r="B29" s="8" t="s">
        <v>9</v>
      </c>
      <c r="C29" s="9" t="s">
        <v>19</v>
      </c>
      <c r="D29" s="9">
        <v>2045</v>
      </c>
      <c r="E29" s="9" t="s">
        <v>11</v>
      </c>
      <c r="F29" s="9">
        <v>0.25</v>
      </c>
      <c r="G29" s="9" t="s">
        <v>15</v>
      </c>
      <c r="K29" s="1"/>
    </row>
    <row r="30" spans="2:11" ht="18.75" customHeight="1" x14ac:dyDescent="0.2">
      <c r="B30" s="11" t="s">
        <v>9</v>
      </c>
      <c r="C30" s="11" t="s">
        <v>19</v>
      </c>
      <c r="D30" s="11">
        <v>2050</v>
      </c>
      <c r="E30" s="2" t="s">
        <v>11</v>
      </c>
      <c r="F30" s="11">
        <v>0.3</v>
      </c>
      <c r="G30" s="11" t="s">
        <v>15</v>
      </c>
    </row>
    <row r="31" spans="2:11" ht="18.75" customHeight="1" x14ac:dyDescent="0.2">
      <c r="B31" s="8" t="s">
        <v>9</v>
      </c>
      <c r="C31" s="9" t="s">
        <v>19</v>
      </c>
      <c r="D31" s="8">
        <v>2025</v>
      </c>
      <c r="E31" s="9" t="s">
        <v>11</v>
      </c>
      <c r="F31" s="9">
        <v>0.02</v>
      </c>
      <c r="G31" s="9" t="s">
        <v>16</v>
      </c>
    </row>
    <row r="32" spans="2:11" ht="18.75" customHeight="1" x14ac:dyDescent="0.2">
      <c r="B32" s="11" t="s">
        <v>9</v>
      </c>
      <c r="C32" s="11" t="s">
        <v>19</v>
      </c>
      <c r="D32" s="11">
        <v>2030</v>
      </c>
      <c r="E32" s="2" t="s">
        <v>11</v>
      </c>
      <c r="F32" s="11">
        <v>0.1</v>
      </c>
      <c r="G32" s="2" t="s">
        <v>16</v>
      </c>
    </row>
    <row r="33" spans="2:10" ht="18.75" customHeight="1" x14ac:dyDescent="0.2">
      <c r="B33" s="9" t="s">
        <v>9</v>
      </c>
      <c r="C33" s="9" t="s">
        <v>19</v>
      </c>
      <c r="D33" s="9">
        <v>2035</v>
      </c>
      <c r="E33" s="9" t="s">
        <v>11</v>
      </c>
      <c r="F33" s="9">
        <v>0.2</v>
      </c>
      <c r="G33" s="9" t="s">
        <v>16</v>
      </c>
    </row>
    <row r="34" spans="2:10" ht="18.75" customHeight="1" x14ac:dyDescent="0.2">
      <c r="B34" s="11" t="s">
        <v>9</v>
      </c>
      <c r="C34" s="11" t="s">
        <v>19</v>
      </c>
      <c r="D34" s="2">
        <v>2040</v>
      </c>
      <c r="E34" s="2" t="s">
        <v>11</v>
      </c>
      <c r="F34" s="11">
        <v>0.3</v>
      </c>
      <c r="G34" s="2" t="s">
        <v>16</v>
      </c>
    </row>
    <row r="35" spans="2:10" ht="18.75" customHeight="1" x14ac:dyDescent="0.2">
      <c r="B35" s="8" t="s">
        <v>9</v>
      </c>
      <c r="C35" s="9" t="s">
        <v>19</v>
      </c>
      <c r="D35" s="8">
        <v>2045</v>
      </c>
      <c r="E35" s="9" t="s">
        <v>11</v>
      </c>
      <c r="F35" s="9">
        <v>0.35</v>
      </c>
      <c r="G35" s="9" t="s">
        <v>16</v>
      </c>
    </row>
    <row r="36" spans="2:10" ht="18.75" customHeight="1" x14ac:dyDescent="0.2">
      <c r="B36" s="17" t="s">
        <v>9</v>
      </c>
      <c r="C36" s="21" t="s">
        <v>19</v>
      </c>
      <c r="D36" s="17">
        <v>2050</v>
      </c>
      <c r="E36" s="17" t="s">
        <v>11</v>
      </c>
      <c r="F36" s="21">
        <v>0.4</v>
      </c>
      <c r="G36" s="17" t="s">
        <v>16</v>
      </c>
      <c r="J36" s="6"/>
    </row>
    <row r="37" spans="2:10" x14ac:dyDescent="0.2">
      <c r="F37" s="10"/>
    </row>
    <row r="38" spans="2:10" x14ac:dyDescent="0.2">
      <c r="E38" s="22"/>
    </row>
    <row r="46" spans="2:10" x14ac:dyDescent="0.2">
      <c r="D46" s="18"/>
    </row>
    <row r="51" spans="15:22" x14ac:dyDescent="0.2">
      <c r="P51">
        <v>2023</v>
      </c>
      <c r="Q51">
        <v>2025</v>
      </c>
      <c r="R51">
        <v>2030</v>
      </c>
      <c r="S51">
        <v>2035</v>
      </c>
      <c r="T51">
        <v>2040</v>
      </c>
      <c r="U51">
        <v>2045</v>
      </c>
      <c r="V51">
        <v>2050</v>
      </c>
    </row>
    <row r="52" spans="15:22" x14ac:dyDescent="0.2">
      <c r="O52" t="str">
        <f t="array" ref="O52:O59">[1]RES!$B$7:$B$14</f>
        <v>ELE_EX_BIOMASS</v>
      </c>
      <c r="P52" s="12">
        <v>0.1</v>
      </c>
      <c r="Q52" s="12">
        <v>0.1</v>
      </c>
      <c r="R52" s="12">
        <v>0.2</v>
      </c>
      <c r="S52" s="12">
        <v>0</v>
      </c>
      <c r="T52" s="12">
        <v>0</v>
      </c>
      <c r="U52" s="12">
        <v>0</v>
      </c>
      <c r="V52" s="12">
        <v>0</v>
      </c>
    </row>
    <row r="53" spans="15:22" x14ac:dyDescent="0.2">
      <c r="O53" t="str">
        <v>ELE_EX_HIDRO</v>
      </c>
      <c r="P53" s="12"/>
      <c r="Q53" s="12"/>
      <c r="R53" s="12"/>
      <c r="S53" s="12"/>
      <c r="T53" s="12"/>
      <c r="U53" s="12"/>
      <c r="V53" s="12"/>
    </row>
    <row r="54" spans="15:22" x14ac:dyDescent="0.2">
      <c r="O54" t="str">
        <v>ELE_EX_HIDRO_RUN</v>
      </c>
      <c r="P54" s="12"/>
      <c r="Q54" s="12"/>
      <c r="R54" s="12"/>
      <c r="S54" s="12"/>
      <c r="T54" s="12"/>
      <c r="U54" s="12"/>
      <c r="V54" s="12"/>
    </row>
    <row r="55" spans="15:22" x14ac:dyDescent="0.2">
      <c r="O55" t="str">
        <v>ELE_EX_HIDRO_STORAGE_PUMP</v>
      </c>
      <c r="P55" s="12"/>
      <c r="Q55" s="12"/>
      <c r="R55" s="12"/>
      <c r="S55" s="12"/>
      <c r="T55" s="12"/>
      <c r="U55" s="12"/>
      <c r="V55" s="12"/>
    </row>
    <row r="56" spans="15:22" x14ac:dyDescent="0.2">
      <c r="O56" t="str">
        <v>ELE_EX_OTHER</v>
      </c>
      <c r="P56" s="1">
        <v>0.24</v>
      </c>
      <c r="Q56" s="1">
        <v>0.24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5:22" x14ac:dyDescent="0.2">
      <c r="O57" t="str">
        <v>ELE_EX_WIND-ON</v>
      </c>
      <c r="P57" s="12">
        <v>7.0000000000000007E-2</v>
      </c>
      <c r="Q57" s="12">
        <v>7.0000000000000007E-2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</row>
    <row r="58" spans="15:22" x14ac:dyDescent="0.2">
      <c r="O58" t="str">
        <v>ELE_EX_AUTOPR_PV</v>
      </c>
      <c r="P58" s="13">
        <v>0.2</v>
      </c>
      <c r="Q58" s="13">
        <v>0.2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</row>
    <row r="59" spans="15:22" x14ac:dyDescent="0.2">
      <c r="O59" t="str">
        <v>ELE_EX_AUTOPR_PV_RES</v>
      </c>
      <c r="P59" s="12">
        <v>0.1</v>
      </c>
      <c r="Q59" s="12">
        <v>0.1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</row>
    <row r="60" spans="15:22" x14ac:dyDescent="0.2">
      <c r="P60" s="14">
        <v>1.17</v>
      </c>
      <c r="Q60" s="1">
        <f>P60+0.049</f>
        <v>1.2189999999999999</v>
      </c>
      <c r="R60" s="1">
        <f>Q60+0.049</f>
        <v>1.2679999999999998</v>
      </c>
      <c r="S60" s="1">
        <f>R60+0.049</f>
        <v>1.3169999999999997</v>
      </c>
      <c r="T60" s="1">
        <v>0</v>
      </c>
      <c r="U60" s="1">
        <v>0</v>
      </c>
      <c r="V60" s="1">
        <v>0</v>
      </c>
    </row>
    <row r="61" spans="15:22" x14ac:dyDescent="0.2">
      <c r="P61" s="14">
        <v>7.1999999999999995E-2</v>
      </c>
      <c r="Q61" s="1">
        <v>0.08</v>
      </c>
      <c r="R61" s="1">
        <v>0.12</v>
      </c>
      <c r="S61" s="1">
        <v>0.16</v>
      </c>
      <c r="T61" s="1">
        <v>0.3</v>
      </c>
      <c r="U61" s="1">
        <v>0</v>
      </c>
      <c r="V61" s="1">
        <v>0</v>
      </c>
    </row>
    <row r="62" spans="15:22" ht="13.5" customHeight="1" thickBot="1" x14ac:dyDescent="0.25">
      <c r="P62" s="15">
        <v>1.36</v>
      </c>
      <c r="Q62" s="16">
        <f>P62+0.72</f>
        <v>2.08</v>
      </c>
      <c r="R62" s="16">
        <f>Q62+0.36</f>
        <v>2.44</v>
      </c>
      <c r="S62" s="16">
        <f>R62+0.36</f>
        <v>2.8</v>
      </c>
      <c r="T62" s="16">
        <v>0</v>
      </c>
      <c r="U62" s="16">
        <v>0</v>
      </c>
      <c r="V62" s="16">
        <v>0</v>
      </c>
    </row>
    <row r="63" spans="15:22" x14ac:dyDescent="0.2">
      <c r="O63" t="s">
        <v>7</v>
      </c>
    </row>
    <row r="64" spans="15:22" x14ac:dyDescent="0.2">
      <c r="O64" t="s">
        <v>8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FLO_SHAR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2026-06-16T13:11:07Z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